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tommychen/Documents/New project/outputs/營造報價比較/"/>
    </mc:Choice>
  </mc:AlternateContent>
  <xr:revisionPtr revIDLastSave="0" documentId="13_ncr:1_{BF2B33BF-D75E-EB40-B472-722A661ECCE1}" xr6:coauthVersionLast="47" xr6:coauthVersionMax="47" xr10:uidLastSave="{00000000-0000-0000-0000-000000000000}"/>
  <bookViews>
    <workbookView xWindow="0" yWindow="680" windowWidth="28800" windowHeight="16480" activeTab="1" xr2:uid="{00000000-000D-0000-FFFF-FFFF00000000}"/>
  </bookViews>
  <sheets>
    <sheet name="報價總覽" sheetId="1" r:id="rId1"/>
    <sheet name="報價明細" sheetId="2" r:id="rId2"/>
    <sheet name="備註與來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2" i="2" l="1"/>
  <c r="K232" i="2" s="1"/>
  <c r="J231" i="2"/>
  <c r="K231" i="2" s="1"/>
  <c r="J230" i="2"/>
  <c r="K230" i="2" s="1"/>
  <c r="J229" i="2"/>
  <c r="K229" i="2" s="1"/>
  <c r="K228" i="2"/>
  <c r="J228" i="2"/>
  <c r="J227" i="2"/>
  <c r="K227" i="2" s="1"/>
  <c r="J226" i="2"/>
  <c r="K226" i="2" s="1"/>
  <c r="J225" i="2"/>
  <c r="K225" i="2" s="1"/>
  <c r="J224" i="2"/>
  <c r="K224" i="2" s="1"/>
  <c r="K223" i="2"/>
  <c r="J223" i="2"/>
  <c r="J222" i="2"/>
  <c r="K222" i="2" s="1"/>
  <c r="J221" i="2"/>
  <c r="K221" i="2" s="1"/>
  <c r="J220" i="2"/>
  <c r="K220" i="2" s="1"/>
  <c r="J219" i="2"/>
  <c r="K219" i="2" s="1"/>
  <c r="K218" i="2"/>
  <c r="J218" i="2"/>
  <c r="J217" i="2"/>
  <c r="K217" i="2" s="1"/>
  <c r="J216" i="2"/>
  <c r="K216" i="2" s="1"/>
  <c r="J215" i="2"/>
  <c r="K215" i="2" s="1"/>
  <c r="J214" i="2"/>
  <c r="K214" i="2" s="1"/>
  <c r="K213" i="2"/>
  <c r="J213" i="2"/>
  <c r="J212" i="2"/>
  <c r="K212" i="2" s="1"/>
  <c r="J211" i="2"/>
  <c r="K211" i="2" s="1"/>
  <c r="J210" i="2"/>
  <c r="K210" i="2" s="1"/>
  <c r="J209" i="2"/>
  <c r="K209" i="2" s="1"/>
  <c r="K208" i="2"/>
  <c r="J208" i="2"/>
  <c r="J207" i="2"/>
  <c r="K207" i="2" s="1"/>
  <c r="J206" i="2"/>
  <c r="K206" i="2" s="1"/>
  <c r="J205" i="2"/>
  <c r="K205" i="2" s="1"/>
  <c r="J204" i="2"/>
  <c r="K204" i="2" s="1"/>
  <c r="K203" i="2"/>
  <c r="J203" i="2"/>
  <c r="J202" i="2"/>
  <c r="K202" i="2" s="1"/>
  <c r="J201" i="2"/>
  <c r="K201" i="2" s="1"/>
  <c r="J200" i="2"/>
  <c r="K200" i="2" s="1"/>
  <c r="J199" i="2"/>
  <c r="K199" i="2" s="1"/>
  <c r="K198" i="2"/>
  <c r="J198" i="2"/>
  <c r="J197" i="2"/>
  <c r="K197" i="2" s="1"/>
  <c r="J196" i="2"/>
  <c r="K196" i="2" s="1"/>
  <c r="J195" i="2"/>
  <c r="K195" i="2" s="1"/>
  <c r="J194" i="2"/>
  <c r="K194" i="2" s="1"/>
  <c r="K193" i="2"/>
  <c r="J193" i="2"/>
  <c r="J192" i="2"/>
  <c r="K192" i="2" s="1"/>
  <c r="J191" i="2"/>
  <c r="K191" i="2" s="1"/>
  <c r="J190" i="2"/>
  <c r="K190" i="2" s="1"/>
  <c r="J189" i="2"/>
  <c r="K189" i="2" s="1"/>
  <c r="K188" i="2"/>
  <c r="J188" i="2"/>
  <c r="J187" i="2"/>
  <c r="K187" i="2" s="1"/>
  <c r="J186" i="2"/>
  <c r="K186" i="2" s="1"/>
  <c r="J185" i="2"/>
  <c r="K185" i="2" s="1"/>
  <c r="J184" i="2"/>
  <c r="K184" i="2" s="1"/>
  <c r="K183" i="2"/>
  <c r="J183" i="2"/>
  <c r="J182" i="2"/>
  <c r="K182" i="2" s="1"/>
  <c r="J181" i="2"/>
  <c r="K181" i="2" s="1"/>
  <c r="J180" i="2"/>
  <c r="K180" i="2" s="1"/>
  <c r="J179" i="2"/>
  <c r="K179" i="2" s="1"/>
  <c r="K178" i="2"/>
  <c r="J178" i="2"/>
  <c r="J177" i="2"/>
  <c r="K177" i="2" s="1"/>
  <c r="J176" i="2"/>
  <c r="K176" i="2" s="1"/>
  <c r="J175" i="2"/>
  <c r="K175" i="2" s="1"/>
  <c r="J174" i="2"/>
  <c r="K174" i="2" s="1"/>
  <c r="K173" i="2"/>
  <c r="J173" i="2"/>
  <c r="J172" i="2"/>
  <c r="K172" i="2" s="1"/>
  <c r="J171" i="2"/>
  <c r="K171" i="2" s="1"/>
  <c r="J170" i="2"/>
  <c r="K170" i="2" s="1"/>
  <c r="J169" i="2"/>
  <c r="K169" i="2" s="1"/>
  <c r="K168" i="2"/>
  <c r="J168" i="2"/>
  <c r="J167" i="2"/>
  <c r="K167" i="2" s="1"/>
  <c r="J166" i="2"/>
  <c r="K166" i="2" s="1"/>
  <c r="J165" i="2"/>
  <c r="K165" i="2" s="1"/>
  <c r="J164" i="2"/>
  <c r="K164" i="2" s="1"/>
  <c r="K163" i="2"/>
  <c r="J163" i="2"/>
  <c r="J162" i="2"/>
  <c r="K162" i="2" s="1"/>
  <c r="J161" i="2"/>
  <c r="K161" i="2" s="1"/>
  <c r="J160" i="2"/>
  <c r="K160" i="2" s="1"/>
  <c r="J159" i="2"/>
  <c r="K159" i="2" s="1"/>
  <c r="K158" i="2"/>
  <c r="J158" i="2"/>
  <c r="J157" i="2"/>
  <c r="K157" i="2" s="1"/>
  <c r="J156" i="2"/>
  <c r="K156" i="2" s="1"/>
  <c r="J155" i="2"/>
  <c r="K155" i="2" s="1"/>
  <c r="J154" i="2"/>
  <c r="K154" i="2" s="1"/>
  <c r="K153" i="2"/>
  <c r="J153" i="2"/>
  <c r="J152" i="2"/>
  <c r="K152" i="2" s="1"/>
  <c r="J151" i="2"/>
  <c r="K151" i="2" s="1"/>
  <c r="J150" i="2"/>
  <c r="K150" i="2" s="1"/>
  <c r="J149" i="2"/>
  <c r="K149" i="2" s="1"/>
  <c r="K148" i="2"/>
  <c r="J148" i="2"/>
  <c r="J147" i="2"/>
  <c r="K147" i="2" s="1"/>
  <c r="J146" i="2"/>
  <c r="K146" i="2" s="1"/>
  <c r="J145" i="2"/>
  <c r="K145" i="2" s="1"/>
  <c r="J144" i="2"/>
  <c r="K144" i="2" s="1"/>
  <c r="K143" i="2"/>
  <c r="J143" i="2"/>
  <c r="J142" i="2"/>
  <c r="K142" i="2" s="1"/>
  <c r="J141" i="2"/>
  <c r="K141" i="2" s="1"/>
  <c r="J140" i="2"/>
  <c r="K140" i="2" s="1"/>
  <c r="J139" i="2"/>
  <c r="K139" i="2" s="1"/>
  <c r="K138" i="2"/>
  <c r="J138" i="2"/>
  <c r="J137" i="2"/>
  <c r="K137" i="2" s="1"/>
  <c r="J136" i="2"/>
  <c r="K136" i="2" s="1"/>
  <c r="J135" i="2"/>
  <c r="K135" i="2" s="1"/>
  <c r="J134" i="2"/>
  <c r="K134" i="2" s="1"/>
  <c r="K133" i="2"/>
  <c r="J133" i="2"/>
  <c r="J132" i="2"/>
  <c r="K132" i="2" s="1"/>
  <c r="J131" i="2"/>
  <c r="K131" i="2" s="1"/>
  <c r="J130" i="2"/>
  <c r="K130" i="2" s="1"/>
  <c r="J129" i="2"/>
  <c r="K129" i="2" s="1"/>
  <c r="K128" i="2"/>
  <c r="J128" i="2"/>
  <c r="J127" i="2"/>
  <c r="K127" i="2" s="1"/>
  <c r="J126" i="2"/>
  <c r="K126" i="2" s="1"/>
  <c r="J125" i="2"/>
  <c r="K125" i="2" s="1"/>
  <c r="J124" i="2"/>
  <c r="K124" i="2" s="1"/>
  <c r="K123" i="2"/>
  <c r="J123" i="2"/>
  <c r="J122" i="2"/>
  <c r="K122" i="2" s="1"/>
  <c r="J121" i="2"/>
  <c r="K121" i="2" s="1"/>
  <c r="J120" i="2"/>
  <c r="K120" i="2" s="1"/>
  <c r="J119" i="2"/>
  <c r="K119" i="2" s="1"/>
  <c r="K118" i="2"/>
  <c r="J118" i="2"/>
  <c r="J117" i="2"/>
  <c r="K117" i="2" s="1"/>
  <c r="J116" i="2"/>
  <c r="K116" i="2" s="1"/>
  <c r="J115" i="2"/>
  <c r="K115" i="2" s="1"/>
  <c r="J114" i="2"/>
  <c r="K114" i="2" s="1"/>
  <c r="K113" i="2"/>
  <c r="J113" i="2"/>
  <c r="J112" i="2"/>
  <c r="K112" i="2" s="1"/>
  <c r="J111" i="2"/>
  <c r="K111" i="2" s="1"/>
  <c r="J110" i="2"/>
  <c r="K110" i="2" s="1"/>
  <c r="J109" i="2"/>
  <c r="K109" i="2" s="1"/>
  <c r="K108" i="2"/>
  <c r="J108" i="2"/>
  <c r="J107" i="2"/>
  <c r="K107" i="2" s="1"/>
  <c r="J106" i="2"/>
  <c r="K106" i="2" s="1"/>
  <c r="J105" i="2"/>
  <c r="K105" i="2" s="1"/>
  <c r="J104" i="2"/>
  <c r="K104" i="2" s="1"/>
  <c r="K103" i="2"/>
  <c r="J103" i="2"/>
  <c r="J102" i="2"/>
  <c r="K102" i="2" s="1"/>
  <c r="J101" i="2"/>
  <c r="K101" i="2" s="1"/>
  <c r="J100" i="2"/>
  <c r="K100" i="2" s="1"/>
  <c r="J99" i="2"/>
  <c r="K99" i="2" s="1"/>
  <c r="K98" i="2"/>
  <c r="J98" i="2"/>
  <c r="J97" i="2"/>
  <c r="K97" i="2" s="1"/>
  <c r="J96" i="2"/>
  <c r="K96" i="2" s="1"/>
  <c r="J95" i="2"/>
  <c r="K95" i="2" s="1"/>
  <c r="J94" i="2"/>
  <c r="K94" i="2" s="1"/>
  <c r="K93" i="2"/>
  <c r="J93" i="2"/>
  <c r="J92" i="2"/>
  <c r="K92" i="2" s="1"/>
  <c r="J91" i="2"/>
  <c r="K91" i="2" s="1"/>
  <c r="J90" i="2"/>
  <c r="K90" i="2" s="1"/>
  <c r="J89" i="2"/>
  <c r="K89" i="2" s="1"/>
  <c r="K88" i="2"/>
  <c r="J88" i="2"/>
  <c r="J87" i="2"/>
  <c r="K87" i="2" s="1"/>
  <c r="J86" i="2"/>
  <c r="K86" i="2" s="1"/>
  <c r="J85" i="2"/>
  <c r="K85" i="2" s="1"/>
  <c r="J84" i="2"/>
  <c r="K84" i="2" s="1"/>
  <c r="K83" i="2"/>
  <c r="J83" i="2"/>
  <c r="J82" i="2"/>
  <c r="K82" i="2" s="1"/>
  <c r="J81" i="2"/>
  <c r="K81" i="2" s="1"/>
  <c r="J80" i="2"/>
  <c r="K80" i="2" s="1"/>
  <c r="J79" i="2"/>
  <c r="K79" i="2" s="1"/>
  <c r="K78" i="2"/>
  <c r="J78" i="2"/>
  <c r="J77" i="2"/>
  <c r="K77" i="2" s="1"/>
  <c r="J76" i="2"/>
  <c r="K76" i="2" s="1"/>
  <c r="J75" i="2"/>
  <c r="K75" i="2" s="1"/>
  <c r="J74" i="2"/>
  <c r="K74" i="2" s="1"/>
  <c r="K73" i="2"/>
  <c r="J73" i="2"/>
  <c r="J72" i="2"/>
  <c r="K72" i="2" s="1"/>
  <c r="J71" i="2"/>
  <c r="K71" i="2" s="1"/>
  <c r="J70" i="2"/>
  <c r="K70" i="2" s="1"/>
  <c r="J69" i="2"/>
  <c r="K69" i="2" s="1"/>
  <c r="K68" i="2"/>
  <c r="J68" i="2"/>
  <c r="J67" i="2"/>
  <c r="K67" i="2" s="1"/>
  <c r="J66" i="2"/>
  <c r="K66" i="2" s="1"/>
  <c r="J65" i="2"/>
  <c r="K65" i="2" s="1"/>
  <c r="J64" i="2"/>
  <c r="K64" i="2" s="1"/>
  <c r="K63" i="2"/>
  <c r="J63" i="2"/>
  <c r="J62" i="2"/>
  <c r="K62" i="2" s="1"/>
  <c r="J61" i="2"/>
  <c r="K61" i="2" s="1"/>
  <c r="J60" i="2"/>
  <c r="K60" i="2" s="1"/>
  <c r="J59" i="2"/>
  <c r="K59" i="2" s="1"/>
  <c r="K58" i="2"/>
  <c r="J58" i="2"/>
  <c r="J57" i="2"/>
  <c r="K57" i="2" s="1"/>
  <c r="J56" i="2"/>
  <c r="K56" i="2" s="1"/>
  <c r="J55" i="2"/>
  <c r="K55" i="2" s="1"/>
  <c r="J54" i="2"/>
  <c r="K54" i="2" s="1"/>
  <c r="K53" i="2"/>
  <c r="J53" i="2"/>
  <c r="J52" i="2"/>
  <c r="K52" i="2" s="1"/>
  <c r="J51" i="2"/>
  <c r="K51" i="2" s="1"/>
  <c r="J50" i="2"/>
  <c r="K50" i="2" s="1"/>
  <c r="J49" i="2"/>
  <c r="K49" i="2" s="1"/>
  <c r="K48" i="2"/>
  <c r="J48" i="2"/>
  <c r="J47" i="2"/>
  <c r="K47" i="2" s="1"/>
  <c r="J46" i="2"/>
  <c r="K46" i="2" s="1"/>
  <c r="J45" i="2"/>
  <c r="K45" i="2" s="1"/>
  <c r="J44" i="2"/>
  <c r="K44" i="2" s="1"/>
  <c r="K43" i="2"/>
  <c r="J43" i="2"/>
  <c r="J42" i="2"/>
  <c r="K42" i="2" s="1"/>
  <c r="J41" i="2"/>
  <c r="K41" i="2" s="1"/>
  <c r="J40" i="2"/>
  <c r="K40" i="2" s="1"/>
  <c r="J39" i="2"/>
  <c r="K39" i="2" s="1"/>
  <c r="K38" i="2"/>
  <c r="J38" i="2"/>
  <c r="J37" i="2"/>
  <c r="K37" i="2" s="1"/>
  <c r="J36" i="2"/>
  <c r="K36" i="2" s="1"/>
  <c r="J35" i="2"/>
  <c r="K35" i="2" s="1"/>
  <c r="J34" i="2"/>
  <c r="K34" i="2" s="1"/>
  <c r="K33" i="2"/>
  <c r="J33" i="2"/>
  <c r="J32" i="2"/>
  <c r="K32" i="2" s="1"/>
  <c r="J31" i="2"/>
  <c r="K31" i="2" s="1"/>
  <c r="J30" i="2"/>
  <c r="K30" i="2" s="1"/>
  <c r="J29" i="2"/>
  <c r="K29" i="2" s="1"/>
  <c r="K28" i="2"/>
  <c r="J28" i="2"/>
  <c r="J27" i="2"/>
  <c r="K27" i="2" s="1"/>
  <c r="J26" i="2"/>
  <c r="K26" i="2" s="1"/>
  <c r="J25" i="2"/>
  <c r="K25" i="2" s="1"/>
  <c r="K24" i="2"/>
  <c r="J24" i="2"/>
  <c r="K23" i="2"/>
  <c r="J23" i="2"/>
  <c r="J22" i="2"/>
  <c r="K22" i="2" s="1"/>
  <c r="J21" i="2"/>
  <c r="K21" i="2" s="1"/>
  <c r="J20" i="2"/>
  <c r="K20" i="2" s="1"/>
  <c r="K19" i="2"/>
  <c r="J19" i="2"/>
  <c r="K18" i="2"/>
  <c r="J18" i="2"/>
  <c r="J17" i="2"/>
  <c r="K17" i="2" s="1"/>
  <c r="J16" i="2"/>
  <c r="K16" i="2" s="1"/>
  <c r="J15" i="2"/>
  <c r="K15" i="2" s="1"/>
  <c r="J14" i="2"/>
  <c r="K14" i="2" s="1"/>
  <c r="K13" i="2"/>
  <c r="J13" i="2"/>
  <c r="J12" i="2"/>
  <c r="K12" i="2" s="1"/>
  <c r="J11" i="2"/>
  <c r="K11" i="2" s="1"/>
  <c r="J10" i="2"/>
  <c r="K10" i="2" s="1"/>
  <c r="J9" i="2"/>
  <c r="K9" i="2" s="1"/>
  <c r="K8" i="2"/>
  <c r="J8" i="2"/>
  <c r="J7" i="2"/>
  <c r="K7" i="2" s="1"/>
  <c r="J6" i="2"/>
  <c r="K6" i="2" s="1"/>
  <c r="C19" i="1"/>
  <c r="D19" i="1" s="1"/>
  <c r="C17" i="1"/>
  <c r="D17" i="1" s="1"/>
  <c r="D16" i="1"/>
  <c r="C16" i="1"/>
  <c r="C15" i="1"/>
  <c r="D15" i="1" s="1"/>
  <c r="C14" i="1"/>
  <c r="D14" i="1" s="1"/>
  <c r="C13" i="1"/>
  <c r="D13" i="1" s="1"/>
  <c r="C12" i="1"/>
  <c r="D12" i="1" s="1"/>
  <c r="D11" i="1"/>
  <c r="C11" i="1"/>
  <c r="C10" i="1"/>
  <c r="D10" i="1" s="1"/>
  <c r="C9" i="1"/>
  <c r="D9" i="1" s="1"/>
  <c r="C8" i="1"/>
  <c r="D8" i="1" s="1"/>
  <c r="C7" i="1"/>
  <c r="D7" i="1" s="1"/>
  <c r="C6" i="1"/>
  <c r="D6" i="1" s="1"/>
</calcChain>
</file>

<file path=xl/sharedStrings.xml><?xml version="1.0" encoding="utf-8"?>
<sst xmlns="http://schemas.openxmlformats.org/spreadsheetml/2006/main" count="1905" uniqueCount="907">
  <si>
    <t>大展營造工程報價整理</t>
  </si>
  <si>
    <t>新臺幣元。原分類與費用完整保留；明細可篩選並追溯PDF頁碼。</t>
  </si>
  <si>
    <t>原總表分類</t>
  </si>
  <si>
    <t>原列金額</t>
  </si>
  <si>
    <t>明細彙總</t>
  </si>
  <si>
    <t>彙總減原列</t>
  </si>
  <si>
    <t>說明</t>
  </si>
  <si>
    <t>假設工程</t>
  </si>
  <si>
    <t>土方工程</t>
  </si>
  <si>
    <t>鋼構工程</t>
  </si>
  <si>
    <t>結構工程</t>
  </si>
  <si>
    <t>內部裝修工程</t>
  </si>
  <si>
    <t>外部裝修工程</t>
  </si>
  <si>
    <t>門窗工程</t>
  </si>
  <si>
    <t>裝修什項工程</t>
  </si>
  <si>
    <t>公共設施工程</t>
  </si>
  <si>
    <t>運什費</t>
  </si>
  <si>
    <t>管理費</t>
  </si>
  <si>
    <t>利潤及稅捐</t>
  </si>
  <si>
    <t>原報價總計</t>
  </si>
  <si>
    <t>原總價保留，不以重算結果覆蓋</t>
  </si>
  <si>
    <t>稅前合計</t>
  </si>
  <si>
    <t>不含營業稅；基益另列空污費</t>
  </si>
  <si>
    <t>營業稅</t>
  </si>
  <si>
    <t>原報價稅額</t>
  </si>
  <si>
    <t>空污費</t>
  </si>
  <si>
    <t>未列價／業主負擔</t>
  </si>
  <si>
    <t>是否包含及課稅口徑依原單</t>
  </si>
  <si>
    <t>報價日期</t>
  </si>
  <si>
    <t>2026-09-30</t>
  </si>
  <si>
    <t>PDF首頁115/09/30</t>
  </si>
  <si>
    <t>有效期限</t>
  </si>
  <si>
    <t>自報價日起7天</t>
  </si>
  <si>
    <t>原報價條件</t>
  </si>
  <si>
    <t>明細筆數</t>
  </si>
  <si>
    <t>含明細及僅在總表列示的費用</t>
  </si>
  <si>
    <t>PDF實際20頁，頁首標示共41頁；本次已整理提供的20頁，須確認是否尚有附件。</t>
  </si>
  <si>
    <t>核對採原單顯示數量及單價四捨五入至元；小額差異可能源自底層精度。</t>
  </si>
  <si>
    <t>原分項小計（不再加總）</t>
  </si>
  <si>
    <t>分類／PDF頁</t>
  </si>
  <si>
    <t>報價明細（新臺幣元）</t>
  </si>
  <si>
    <t>藍字為原報價數值；空白金額代表未列價。乘算僅供核對，不取代原複價。</t>
  </si>
  <si>
    <t>資料ID</t>
  </si>
  <si>
    <t>原分類</t>
  </si>
  <si>
    <t>子分類</t>
  </si>
  <si>
    <t>原項次</t>
  </si>
  <si>
    <t>工程項目／規格</t>
  </si>
  <si>
    <t>單位</t>
  </si>
  <si>
    <t>數量</t>
  </si>
  <si>
    <t>原單價</t>
  </si>
  <si>
    <t>原複價</t>
  </si>
  <si>
    <t>數量×單價</t>
  </si>
  <si>
    <t>原複價減乘算</t>
  </si>
  <si>
    <t>品牌／原備註</t>
  </si>
  <si>
    <t>PDF頁</t>
  </si>
  <si>
    <t>性質</t>
  </si>
  <si>
    <t>統一比較分類</t>
  </si>
  <si>
    <t>核對說明</t>
  </si>
  <si>
    <t>dazhan-001</t>
  </si>
  <si>
    <t>A001</t>
  </si>
  <si>
    <t>工務所設備（組合屋）/臨時衛 生設備</t>
  </si>
  <si>
    <t>式</t>
  </si>
  <si>
    <t>工程明細</t>
  </si>
  <si>
    <t>dazhan-002</t>
  </si>
  <si>
    <t>A002</t>
  </si>
  <si>
    <t>甲種安全圍籬工程/含工程告 示牌</t>
  </si>
  <si>
    <t>dazhan-003</t>
  </si>
  <si>
    <t>A003</t>
  </si>
  <si>
    <t>外管臨時水電申請及設備/施 工中水電使用費</t>
  </si>
  <si>
    <t>dazhan-004</t>
  </si>
  <si>
    <t>A004</t>
  </si>
  <si>
    <t>施工臨時水電設備建置費</t>
  </si>
  <si>
    <t>dazhan-005</t>
  </si>
  <si>
    <t>A005</t>
  </si>
  <si>
    <t>營建混合廢棄物證明及處理 費</t>
  </si>
  <si>
    <t>dazhan-006</t>
  </si>
  <si>
    <t>A006</t>
  </si>
  <si>
    <t>公共排水溝及道路修復工程</t>
  </si>
  <si>
    <t>dazhan-007</t>
  </si>
  <si>
    <t>A007</t>
  </si>
  <si>
    <t>工地保全費用/設備保全</t>
  </si>
  <si>
    <t>dazhan-008</t>
  </si>
  <si>
    <t>B001</t>
  </si>
  <si>
    <t>現有圍籬、成功二路120巷入 口處鐵皮屋拆除運棄及整地 工程</t>
  </si>
  <si>
    <t>土方及結構工程</t>
  </si>
  <si>
    <t>dazhan-009</t>
  </si>
  <si>
    <t>B002</t>
  </si>
  <si>
    <t>土方開挖</t>
  </si>
  <si>
    <t>M3</t>
  </si>
  <si>
    <t>實方</t>
  </si>
  <si>
    <t>dazhan-010</t>
  </si>
  <si>
    <t>B003</t>
  </si>
  <si>
    <t>回填土方</t>
  </si>
  <si>
    <t>實方/暫置基地內</t>
  </si>
  <si>
    <t>dazhan-011</t>
  </si>
  <si>
    <t>B004</t>
  </si>
  <si>
    <t>污水處理區土方開挖及回填 工程（二處）</t>
  </si>
  <si>
    <t>dazhan-012</t>
  </si>
  <si>
    <t>C001</t>
  </si>
  <si>
    <t>SN490B鋼構材料 H型鋼</t>
  </si>
  <si>
    <t>噸</t>
  </si>
  <si>
    <t>dazhan-013</t>
  </si>
  <si>
    <t>C002</t>
  </si>
  <si>
    <t>SN490B鋼鈑材料</t>
  </si>
  <si>
    <t>dazhan-014</t>
  </si>
  <si>
    <t>C003</t>
  </si>
  <si>
    <t>廠內加工焊接（含柱封板）</t>
  </si>
  <si>
    <t>dazhan-015</t>
  </si>
  <si>
    <t>C004</t>
  </si>
  <si>
    <t>鋼構噴砂+1道磷酸鋅底漆</t>
  </si>
  <si>
    <t>dazhan-016</t>
  </si>
  <si>
    <t>C005</t>
  </si>
  <si>
    <t>鋼構運輸</t>
  </si>
  <si>
    <t>dazhan-017</t>
  </si>
  <si>
    <t>C006</t>
  </si>
  <si>
    <t>鋼構加工損耗品/五金焊材</t>
  </si>
  <si>
    <t>dazhan-018</t>
  </si>
  <si>
    <t>C007</t>
  </si>
  <si>
    <t>鋼構組立吊裝</t>
  </si>
  <si>
    <t>dazhan-019</t>
  </si>
  <si>
    <t>C008</t>
  </si>
  <si>
    <t>高拉力螺栓</t>
  </si>
  <si>
    <t>KG</t>
  </si>
  <si>
    <t>dazhan-020</t>
  </si>
  <si>
    <t>C009</t>
  </si>
  <si>
    <t>鋼承版（3W DECK T=1.2mm）</t>
  </si>
  <si>
    <t>M2</t>
  </si>
  <si>
    <t>dazhan-021</t>
  </si>
  <si>
    <t>C010</t>
  </si>
  <si>
    <t>DECK剪力釘（φ19*76L）</t>
  </si>
  <si>
    <t>支</t>
  </si>
  <si>
    <t>dazhan-022</t>
  </si>
  <si>
    <t>C011</t>
  </si>
  <si>
    <t>與RC牆接合剪力釘</t>
  </si>
  <si>
    <t>dazhan-023</t>
  </si>
  <si>
    <t>C012</t>
  </si>
  <si>
    <t>甲梯/鋼梯（H10.7m）/1F~3F</t>
  </si>
  <si>
    <t>座</t>
  </si>
  <si>
    <t>dazhan-024</t>
  </si>
  <si>
    <t>C013</t>
  </si>
  <si>
    <t>乙梯/鋼梯（H15.2m）/IF~RF</t>
  </si>
  <si>
    <t>dazhan-025</t>
  </si>
  <si>
    <t>C014</t>
  </si>
  <si>
    <t>M22基礎螺栓預埋</t>
  </si>
  <si>
    <t>組</t>
  </si>
  <si>
    <t>dazhan-026</t>
  </si>
  <si>
    <t>C015</t>
  </si>
  <si>
    <t>鋼構無收縮水泥灌注</t>
  </si>
  <si>
    <t>處</t>
  </si>
  <si>
    <t>dazhan-027</t>
  </si>
  <si>
    <t>C016</t>
  </si>
  <si>
    <t>二工鋼構工程</t>
  </si>
  <si>
    <t>（含廠製.噴砂油 漆.運輸.安裝）</t>
  </si>
  <si>
    <t>dazhan-028</t>
  </si>
  <si>
    <t>C017</t>
  </si>
  <si>
    <t>二工鋼承版（3W T=1.2mm）</t>
  </si>
  <si>
    <t>dazhan-029</t>
  </si>
  <si>
    <t>C018</t>
  </si>
  <si>
    <t>鋼構檢驗</t>
  </si>
  <si>
    <t>dazhan-030</t>
  </si>
  <si>
    <t>C019</t>
  </si>
  <si>
    <t>鋼構施工圖繪製及安全措施</t>
  </si>
  <si>
    <t>dazhan-031</t>
  </si>
  <si>
    <t>C021</t>
  </si>
  <si>
    <t>鋼樑鋼筋焊植工程</t>
  </si>
  <si>
    <t>dazhan-032</t>
  </si>
  <si>
    <t>C022</t>
  </si>
  <si>
    <t>鋼柱.鋼樑噴塗防火漆1小時</t>
  </si>
  <si>
    <t>（FM-906）+面漆 （1030FM</t>
  </si>
  <si>
    <t>dazhan-033</t>
  </si>
  <si>
    <t>C023</t>
  </si>
  <si>
    <t>甲梯/噴塗及手工刷塗面漆</t>
  </si>
  <si>
    <t>dazhan-034</t>
  </si>
  <si>
    <t>C024</t>
  </si>
  <si>
    <t>乙梯/噴塗及手工刷塗面漆</t>
  </si>
  <si>
    <t>dazhan-035</t>
  </si>
  <si>
    <t>C025</t>
  </si>
  <si>
    <t>剪刀式高空作業車</t>
  </si>
  <si>
    <t>4台</t>
  </si>
  <si>
    <t>dazhan-036</t>
  </si>
  <si>
    <t>D001</t>
  </si>
  <si>
    <t>鋼筋加工及組立SD280 #3</t>
  </si>
  <si>
    <t>T</t>
  </si>
  <si>
    <t>非水淬</t>
  </si>
  <si>
    <t>dazhan-037</t>
  </si>
  <si>
    <t>D002</t>
  </si>
  <si>
    <t>鋼筋加工及組立 SD420W/#4（含）以上</t>
  </si>
  <si>
    <t>dazhan-038</t>
  </si>
  <si>
    <t>D003</t>
  </si>
  <si>
    <t>鋼梯點焊鋼絲網舖設工程</t>
  </si>
  <si>
    <t>dazhan-039</t>
  </si>
  <si>
    <t>D004</t>
  </si>
  <si>
    <t>預拌混凝土及澆置 2000PSI</t>
  </si>
  <si>
    <t>台鋼</t>
  </si>
  <si>
    <t>dazhan-040</t>
  </si>
  <si>
    <t>D005</t>
  </si>
  <si>
    <t>預拌混凝土及澆置 4000PSI</t>
  </si>
  <si>
    <t>亞泥</t>
  </si>
  <si>
    <t>dazhan-041</t>
  </si>
  <si>
    <t>D007</t>
  </si>
  <si>
    <t>模板工程放樣</t>
  </si>
  <si>
    <t>坪</t>
  </si>
  <si>
    <t>dazhan-042</t>
  </si>
  <si>
    <t>D008</t>
  </si>
  <si>
    <t>普通模板含組立</t>
  </si>
  <si>
    <t>dazhan-043</t>
  </si>
  <si>
    <t>D009</t>
  </si>
  <si>
    <t>鋼管鷹架（CNS4750）/含內外 交叉拉桿</t>
  </si>
  <si>
    <t>dazhan-044</t>
  </si>
  <si>
    <t>D010</t>
  </si>
  <si>
    <t>安全母索及低拉桿</t>
  </si>
  <si>
    <t>M</t>
  </si>
  <si>
    <t>dazhan-045</t>
  </si>
  <si>
    <t>D011</t>
  </si>
  <si>
    <t>防塵網（格層網18針）</t>
  </si>
  <si>
    <t>dazhan-046</t>
  </si>
  <si>
    <t>D012</t>
  </si>
  <si>
    <t>安全防墜網</t>
  </si>
  <si>
    <t>dazhan-047</t>
  </si>
  <si>
    <t>D013</t>
  </si>
  <si>
    <t>三角架</t>
  </si>
  <si>
    <t>dazhan-048</t>
  </si>
  <si>
    <t>D014</t>
  </si>
  <si>
    <t>安全夾板</t>
  </si>
  <si>
    <t>dazhan-049</t>
  </si>
  <si>
    <t>D015</t>
  </si>
  <si>
    <t>延伸架</t>
  </si>
  <si>
    <t>dazhan-050</t>
  </si>
  <si>
    <t>D016</t>
  </si>
  <si>
    <t>壁拉桿</t>
  </si>
  <si>
    <t>dazhan-051</t>
  </si>
  <si>
    <t>D017</t>
  </si>
  <si>
    <t>外架鐵爬梯（CNS4750）</t>
  </si>
  <si>
    <t>dazhan-052</t>
  </si>
  <si>
    <t>D018</t>
  </si>
  <si>
    <t>裝修施工架</t>
  </si>
  <si>
    <t>dazhan-053</t>
  </si>
  <si>
    <t>D019</t>
  </si>
  <si>
    <t>裝修滿堂架</t>
  </si>
  <si>
    <t>dazhan-054</t>
  </si>
  <si>
    <t>D020</t>
  </si>
  <si>
    <t>活動施工架</t>
  </si>
  <si>
    <t>dazhan-055</t>
  </si>
  <si>
    <t>D021</t>
  </si>
  <si>
    <t>鋼筋補運費（不足基本噸數）/ 單次出車</t>
  </si>
  <si>
    <t>dazhan-056</t>
  </si>
  <si>
    <t>D022</t>
  </si>
  <si>
    <t>地坪舖PE防潮布</t>
  </si>
  <si>
    <t>dazhan-057</t>
  </si>
  <si>
    <t>E001</t>
  </si>
  <si>
    <t>地坪整體粉光/各層RC澆置後</t>
  </si>
  <si>
    <t>內外裝修及防水</t>
  </si>
  <si>
    <t>dazhan-058</t>
  </si>
  <si>
    <t>E003</t>
  </si>
  <si>
    <t>管道間水泥纖維板隔間（雙面 /乾式）</t>
  </si>
  <si>
    <t>國浦/9mm+CH92+岩 棉+9mm水泥纖維板</t>
  </si>
  <si>
    <t>dazhan-059</t>
  </si>
  <si>
    <t>E004</t>
  </si>
  <si>
    <t>一小時防火時效矽酸鈣板隔 間（雙面/乾式）（60A）</t>
  </si>
  <si>
    <t>國浦/9mm+C100+岩 棉+9mm矽酸鈣板</t>
  </si>
  <si>
    <t>dazhan-060</t>
  </si>
  <si>
    <t>E005</t>
  </si>
  <si>
    <t>防火輕隔間上緣刻溝工程</t>
  </si>
  <si>
    <t>dazhan-061</t>
  </si>
  <si>
    <t>E006</t>
  </si>
  <si>
    <t>矽酸鈣板隔間（雙面/乾式）</t>
  </si>
  <si>
    <t>國浦 /9mm+C100+9mm矽 酸鈣板</t>
  </si>
  <si>
    <t>dazhan-062</t>
  </si>
  <si>
    <t>E007</t>
  </si>
  <si>
    <t>浴廁水泥纖維板隔間（雙面/ 乾式）</t>
  </si>
  <si>
    <t>國浦 /9mm+C100+9mm水 泥纖維板</t>
  </si>
  <si>
    <t>dazhan-063</t>
  </si>
  <si>
    <t>E008</t>
  </si>
  <si>
    <t>輕隔間工程未至頂處上方加 強骨架</t>
  </si>
  <si>
    <t>dazhan-064</t>
  </si>
  <si>
    <t>E009</t>
  </si>
  <si>
    <t>鋼柱包9mm矽酸鈣板隔間（單 面）/1F/H570cm</t>
  </si>
  <si>
    <t>dazhan-065</t>
  </si>
  <si>
    <t>E010</t>
  </si>
  <si>
    <t>鋼柱包9mm矽酸鈣板隔間（單 面）/2F/H500cm</t>
  </si>
  <si>
    <t>dazhan-066</t>
  </si>
  <si>
    <t>E011</t>
  </si>
  <si>
    <t>鋼柱包9mm矽酸鈣板隔間（單 面）/3F/H450cm</t>
  </si>
  <si>
    <t>dazhan-067</t>
  </si>
  <si>
    <t>E012</t>
  </si>
  <si>
    <t>鋼柱包9mm矽酸鈣板隔間（單 面）/RF/H300cm</t>
  </si>
  <si>
    <t>dazhan-068</t>
  </si>
  <si>
    <t>E013</t>
  </si>
  <si>
    <t>FO1-地坪軟底舖止滑石英磚 （30*30）/浴廁</t>
  </si>
  <si>
    <t>白馬/傳家系列或 同級品</t>
  </si>
  <si>
    <t>dazhan-069</t>
  </si>
  <si>
    <t>E014</t>
  </si>
  <si>
    <t>F02-地坪軟底舖石英磚 （30*30）/機房</t>
  </si>
  <si>
    <t>dazhan-070</t>
  </si>
  <si>
    <t>E016</t>
  </si>
  <si>
    <t>F03-地坪耐磨環氧樹脂EPOXY 地坪</t>
  </si>
  <si>
    <t>慶泰3MM流展平塗</t>
  </si>
  <si>
    <t>dazhan-071</t>
  </si>
  <si>
    <t>E017</t>
  </si>
  <si>
    <t>F04-樓梯地坪貼樓梯磚 （20*20）/含梯間</t>
  </si>
  <si>
    <t>白馬/崗玉系列或 同級品</t>
  </si>
  <si>
    <t>dazhan-072</t>
  </si>
  <si>
    <t>E018</t>
  </si>
  <si>
    <t>F04-樓梯地坪貼樓梯磚 （20*27）</t>
  </si>
  <si>
    <t>dazhan-073</t>
  </si>
  <si>
    <t>E019</t>
  </si>
  <si>
    <t>F05-地坪半濕式舖拋光石英 磚（60*60）</t>
  </si>
  <si>
    <t>白馬/雅緻系列或 同級品</t>
  </si>
  <si>
    <t>dazhan-074</t>
  </si>
  <si>
    <t>E020</t>
  </si>
  <si>
    <t>F06-地坪硬底舖拋光石英磚 （60*120）</t>
  </si>
  <si>
    <t>白馬/皇家之星系 列或同級品</t>
  </si>
  <si>
    <t>dazhan-075</t>
  </si>
  <si>
    <t>E021</t>
  </si>
  <si>
    <t>地坪矽利康收邊</t>
  </si>
  <si>
    <t>道康寧GM</t>
  </si>
  <si>
    <t>dazhan-076</t>
  </si>
  <si>
    <t>E022</t>
  </si>
  <si>
    <t>FO7-地坪軟底舖止滑石英磚 （30*30）/陽台</t>
  </si>
  <si>
    <t>dazhan-077</t>
  </si>
  <si>
    <t>E023</t>
  </si>
  <si>
    <t>F08-地坪硬底舖止滑石英磚 （30*60）/外廊</t>
  </si>
  <si>
    <t>白馬/箱根系列或 同級品</t>
  </si>
  <si>
    <t>dazhan-078</t>
  </si>
  <si>
    <t>E024</t>
  </si>
  <si>
    <t>F08-地坪抿石子（1.2分宜蘭 石）/外廊收邊.樓梯.無障礙 坡道</t>
  </si>
  <si>
    <t>dazhan-079</t>
  </si>
  <si>
    <t>E025</t>
  </si>
  <si>
    <t>F09-地坪硬底舖石英磚 （30*30）/ 屋頂平台</t>
  </si>
  <si>
    <t>dazhan-080</t>
  </si>
  <si>
    <t>E026</t>
  </si>
  <si>
    <t>F10-地坪半濕式舖拋光石英 磚（30*60）/1MF參觀平台</t>
  </si>
  <si>
    <t>dazhan-081</t>
  </si>
  <si>
    <t>E027</t>
  </si>
  <si>
    <t>W01-內牆1:3MT光刷水泥漆</t>
  </si>
  <si>
    <t>虹牌/白土*2+底漆 （410-1）+面漆 （450）*2道</t>
  </si>
  <si>
    <t>dazhan-082</t>
  </si>
  <si>
    <t>E028</t>
  </si>
  <si>
    <t>WO1-輕隔間牆面刷水泥漆</t>
  </si>
  <si>
    <t>dazhan-083</t>
  </si>
  <si>
    <t>E029</t>
  </si>
  <si>
    <t>WO2,W03-內牆打底貼石英磚 （30*30）/H270cm</t>
  </si>
  <si>
    <t>dazhan-084</t>
  </si>
  <si>
    <t>E030</t>
  </si>
  <si>
    <t>W02. W03-輕隔間貼石英磚 （30*30）/H270cm</t>
  </si>
  <si>
    <t>dazhan-085</t>
  </si>
  <si>
    <t>E032</t>
  </si>
  <si>
    <t>機房/內牆1:3MT光刷水泥漆</t>
  </si>
  <si>
    <t>dazhan-086</t>
  </si>
  <si>
    <t>E033</t>
  </si>
  <si>
    <t>平頂明架礦纖天花板（60*60）</t>
  </si>
  <si>
    <t>dazhan-087</t>
  </si>
  <si>
    <t>E034</t>
  </si>
  <si>
    <t>平頂暗架矽酸鈣板天花（平面 式）</t>
  </si>
  <si>
    <t>國浦6mm/虹牌/白 土*1+底漆（410- 1+467AD）+面漆 （450）*2道</t>
  </si>
  <si>
    <t>dazhan-088</t>
  </si>
  <si>
    <t>E035</t>
  </si>
  <si>
    <t>暗架平頂天花脫溝</t>
  </si>
  <si>
    <t>dazhan-089</t>
  </si>
  <si>
    <t>E036</t>
  </si>
  <si>
    <t>刀具室平頂暗架矽酸鈣板天 花-上下封板</t>
  </si>
  <si>
    <t>dazhan-090</t>
  </si>
  <si>
    <t>E037</t>
  </si>
  <si>
    <t>蹲式馬桶砌磚工程</t>
  </si>
  <si>
    <t>dazhan-091</t>
  </si>
  <si>
    <t>E038</t>
  </si>
  <si>
    <t>浴廁彈泥防水工程（地坪+牆 面H120cm）</t>
  </si>
  <si>
    <t>慶泰單液彈泥/詳 估價書備註說明</t>
  </si>
  <si>
    <t>dazhan-092</t>
  </si>
  <si>
    <t>E039</t>
  </si>
  <si>
    <t>浴廁不垂流手拌聚脲防水收 邊</t>
  </si>
  <si>
    <t>不垂流手拌聚脲/ 詳估價書備註說明</t>
  </si>
  <si>
    <t>dazhan-093</t>
  </si>
  <si>
    <t>E040</t>
  </si>
  <si>
    <t>陽台地坪彈泥防水工程</t>
  </si>
  <si>
    <t>彈泥防水+角PU/</t>
  </si>
  <si>
    <t>dazhan-094</t>
  </si>
  <si>
    <t>E041</t>
  </si>
  <si>
    <t>陽台L角PU防水</t>
  </si>
  <si>
    <t>詳估價書備註說明</t>
  </si>
  <si>
    <t>dazhan-095</t>
  </si>
  <si>
    <t>E042</t>
  </si>
  <si>
    <t>3MM聚脲防水工程（有覆蓋 材）/屋頂平台</t>
  </si>
  <si>
    <t>慶泰聚脲/詳估價 書備註說明</t>
  </si>
  <si>
    <t>dazhan-096</t>
  </si>
  <si>
    <t>E043</t>
  </si>
  <si>
    <t>3MM聚脲防水工程（無覆蓋 材）/屋突平台、IMF露台</t>
  </si>
  <si>
    <t>dazhan-097</t>
  </si>
  <si>
    <t>E044</t>
  </si>
  <si>
    <t>外廊地坪彈泥防水工程</t>
  </si>
  <si>
    <t>dazhan-098</t>
  </si>
  <si>
    <t>E045</t>
  </si>
  <si>
    <t>防水粉刷-電梯機坑、消防水 池（五面）</t>
  </si>
  <si>
    <t>添加固德強防水砂 漿</t>
  </si>
  <si>
    <t>dazhan-099</t>
  </si>
  <si>
    <t>E046</t>
  </si>
  <si>
    <t>內牆磁磚磨角</t>
  </si>
  <si>
    <t>dazhan-100</t>
  </si>
  <si>
    <t>F001</t>
  </si>
  <si>
    <t>外牆打底貼二丁掛（深色）/平 磚</t>
  </si>
  <si>
    <t>白馬/璞久石系列 或同級品</t>
  </si>
  <si>
    <t>dazhan-101</t>
  </si>
  <si>
    <t>F002</t>
  </si>
  <si>
    <t>外牆彩色鋼板（清板）/275企 口型扣合式烤漆鋼板</t>
  </si>
  <si>
    <t>dazhan-102</t>
  </si>
  <si>
    <t>F004</t>
  </si>
  <si>
    <t>外牆1:3MT噴仿清水模塗料/ 鈴鹿</t>
  </si>
  <si>
    <t>dazhan-103</t>
  </si>
  <si>
    <t>F005</t>
  </si>
  <si>
    <t>外牆1:3MT噴單彩塗料/鈴鹿- 細緻紋理（淺色）</t>
  </si>
  <si>
    <t>dazhan-104</t>
  </si>
  <si>
    <t>F006</t>
  </si>
  <si>
    <t>外牆塗料滴水條</t>
  </si>
  <si>
    <t>dazhan-105</t>
  </si>
  <si>
    <t>F007</t>
  </si>
  <si>
    <t>外牆1:3MT噴防塵漆（虹牌 SA3000）</t>
  </si>
  <si>
    <t>虹牌/底漆（410- 1+467AD）+面漆 （SA3000）*3道</t>
  </si>
  <si>
    <t>dazhan-106</t>
  </si>
  <si>
    <t>F008</t>
  </si>
  <si>
    <t>外牆滴水條（防塵漆處）</t>
  </si>
  <si>
    <t>dazhan-107</t>
  </si>
  <si>
    <t>F009</t>
  </si>
  <si>
    <t>外牆1:3水泥粉光/RF內立面</t>
  </si>
  <si>
    <t>dazhan-108</t>
  </si>
  <si>
    <t>F010</t>
  </si>
  <si>
    <t>外牆打底抿石子（1.2分宜蘭 石）/外廊立面外露處</t>
  </si>
  <si>
    <t>dazhan-109</t>
  </si>
  <si>
    <t>F011</t>
  </si>
  <si>
    <t>外牆鋁包板（2.5t）/鋁本色 （含骨架）</t>
  </si>
  <si>
    <t>氟碳烤漆Kynar500 二塗一烤</t>
  </si>
  <si>
    <t>dazhan-110</t>
  </si>
  <si>
    <t>F012</t>
  </si>
  <si>
    <t>雨遮不銹鋼工程（1.5t）/毛絲 面</t>
  </si>
  <si>
    <t>dazhan-111</t>
  </si>
  <si>
    <t>F013</t>
  </si>
  <si>
    <t>東向正立面牌樓RF版頂地坪 PU防水工程（無覆蓋材）</t>
  </si>
  <si>
    <t>3MM單液PU/詳估價 書備註說明</t>
  </si>
  <si>
    <t>dazhan-112</t>
  </si>
  <si>
    <t>F014</t>
  </si>
  <si>
    <t>外牆彈泥防水工程（結構體）/ 鋁包板、企口板處</t>
  </si>
  <si>
    <t>dazhan-113</t>
  </si>
  <si>
    <t>F015</t>
  </si>
  <si>
    <t>外牆彈泥防水工程（打底面）/ 貼磚處</t>
  </si>
  <si>
    <t>dazhan-114</t>
  </si>
  <si>
    <t>F016</t>
  </si>
  <si>
    <t>外牆彈泥防水工程（打底面）/ 帽蓋</t>
  </si>
  <si>
    <t>dazhan-115</t>
  </si>
  <si>
    <t>F017</t>
  </si>
  <si>
    <t>造型不銹鋼沖孔版 （2t）/2F/H290cm</t>
  </si>
  <si>
    <t>片</t>
  </si>
  <si>
    <t>dazhan-116</t>
  </si>
  <si>
    <t>F018</t>
  </si>
  <si>
    <t>造型不銹鋼沖孔版 （2t）/3F/H450cm</t>
  </si>
  <si>
    <t>dazhan-117</t>
  </si>
  <si>
    <t>F019</t>
  </si>
  <si>
    <t>磁磚收邊條</t>
  </si>
  <si>
    <t>dazhan-118</t>
  </si>
  <si>
    <t>F020</t>
  </si>
  <si>
    <t>樓層版接縫防水</t>
  </si>
  <si>
    <t>dazhan-119</t>
  </si>
  <si>
    <t>F021</t>
  </si>
  <si>
    <t>二次接縫防水</t>
  </si>
  <si>
    <t>不垂流聚脲/詳估 價書備註說明</t>
  </si>
  <si>
    <t>dazhan-120</t>
  </si>
  <si>
    <t>F022</t>
  </si>
  <si>
    <t>外牆磁磚磨角</t>
  </si>
  <si>
    <t>dazhan-121</t>
  </si>
  <si>
    <t>G001</t>
  </si>
  <si>
    <t>D1（80*220）浴廁ABS門</t>
  </si>
  <si>
    <t>樘</t>
  </si>
  <si>
    <t>後裝框/深胡黑單 直卡/水平鎖</t>
  </si>
  <si>
    <t>dazhan-122</t>
  </si>
  <si>
    <t>G002</t>
  </si>
  <si>
    <t>D2（90*210）浴廁ABS横拉門</t>
  </si>
  <si>
    <t>深胡黑雙直卡/上 滑輪.下導軌/型 指示勾鎖/大把手</t>
  </si>
  <si>
    <t>dazhan-123</t>
  </si>
  <si>
    <t>G003</t>
  </si>
  <si>
    <t>D3（100*220）美耐板門</t>
  </si>
  <si>
    <t>後裝框/安勝美耐 板-平面/水平鎖/ 門止</t>
  </si>
  <si>
    <t>dazhan-124</t>
  </si>
  <si>
    <t>G004</t>
  </si>
  <si>
    <t>D3a（100*220）烤漆鋼板防火 門（60A）/具遮煙性</t>
  </si>
  <si>
    <t>單玄關/粉體烤漆/ 平板門/水平輔助 鎖/旗型鉸鍊/門弓 器</t>
  </si>
  <si>
    <t>dazhan-125</t>
  </si>
  <si>
    <t>G005</t>
  </si>
  <si>
    <t>D4（100*210）鍍鋅烤漆鋼板門 /具遮煙性</t>
  </si>
  <si>
    <t>單玄關/粉體烤漆/ 平板門/平推鎖/N 型取手/旗型鉸鍊/ 門弓器</t>
  </si>
  <si>
    <t>dazhan-126</t>
  </si>
  <si>
    <t>G006</t>
  </si>
  <si>
    <t>D5（90*220）美耐板門</t>
  </si>
  <si>
    <t>dazhan-127</t>
  </si>
  <si>
    <t>G007</t>
  </si>
  <si>
    <t>二工D5（90*220）美耐板門</t>
  </si>
  <si>
    <t>後裝框/安勝美耐 板一平面/水平鎖/ 門止</t>
  </si>
  <si>
    <t>dazhan-128</t>
  </si>
  <si>
    <t>G008</t>
  </si>
  <si>
    <t>D6（120*250） 鋁框玻璃門</t>
  </si>
  <si>
    <t>信元雙開</t>
  </si>
  <si>
    <t>dazhan-129</t>
  </si>
  <si>
    <t>G009</t>
  </si>
  <si>
    <t>D6-1（200*140）横拉鋁窗</t>
  </si>
  <si>
    <t>信元1060-2B</t>
  </si>
  <si>
    <t>dazhan-130</t>
  </si>
  <si>
    <t>G010</t>
  </si>
  <si>
    <t>D6-2（375*140）橫拉鋁窗/雙 併</t>
  </si>
  <si>
    <t>信元1060-2B*2</t>
  </si>
  <si>
    <t>dazhan-131</t>
  </si>
  <si>
    <t>G011</t>
  </si>
  <si>
    <t>D6-3（（80+335+80）*140）角窗 +横拉鋁窗</t>
  </si>
  <si>
    <t>信元1060- 2B*2+F*2+90度</t>
  </si>
  <si>
    <t>dazhan-132</t>
  </si>
  <si>
    <t>G012</t>
  </si>
  <si>
    <t>D7（95*220）三合一通風鋁門</t>
  </si>
  <si>
    <t>信元通風門</t>
  </si>
  <si>
    <t>dazhan-133</t>
  </si>
  <si>
    <t>G013</t>
  </si>
  <si>
    <t>二工D7（95*220）三合一通風鋁門</t>
  </si>
  <si>
    <t>dazhan-134</t>
  </si>
  <si>
    <t>G014</t>
  </si>
  <si>
    <t>D8（140*240）雙開鍍鋅烤漆鋼 板門/具遮煙性（含不銹鋼門 檻）</t>
  </si>
  <si>
    <t>單玄關/粉體烤漆/ 平板門/自動鎖/方 型取手/旗型鉸鍊/ 門马器</t>
  </si>
  <si>
    <t>dazhan-135</t>
  </si>
  <si>
    <t>G015</t>
  </si>
  <si>
    <t>D9（150*240）雙開鍍鋅烤漆鋼 板門（含不銹鋼門檻）</t>
  </si>
  <si>
    <t>dazhan-136</t>
  </si>
  <si>
    <t>G016</t>
  </si>
  <si>
    <t>D9a（150*240）雙開烤漆鋼板 防火門（60A）/具遮煙性（含不 銹鋼門檻）</t>
  </si>
  <si>
    <t>dazhan-137</t>
  </si>
  <si>
    <t>G017</t>
  </si>
  <si>
    <t>D10（180*240）雙開鍍鋅烤漆 鋼板門（含不銹鋼門檻）</t>
  </si>
  <si>
    <t>單玄關/粉體烤漆/ 平板門/自動鎖/方 型取手/旗型鉸鍊/ 門弓器</t>
  </si>
  <si>
    <t>dazhan-138</t>
  </si>
  <si>
    <t>G018</t>
  </si>
  <si>
    <t>W11+D11+W11（（265+290+265） *330）推射＋固定鋁窗＋推開鋁 門（開天-格柵板）</t>
  </si>
  <si>
    <t>信元1066-SU/F*3+ 雙開門/上方管</t>
  </si>
  <si>
    <t>dazhan-139</t>
  </si>
  <si>
    <t>G019</t>
  </si>
  <si>
    <t>D12（160*240）鍍鋅烤漆鋼板 横拉門/含8mm清強化視窗玻 璃</t>
  </si>
  <si>
    <t>單玄關/粉體烤漆/ 冂形把手/滑軌組/ 吊輪組/導輪</t>
  </si>
  <si>
    <t>dazhan-140</t>
  </si>
  <si>
    <t>G020</t>
  </si>
  <si>
    <t>D13（100*210）無障礙廁所ABS 橫拉門</t>
  </si>
  <si>
    <t>dazhan-141</t>
  </si>
  <si>
    <t>G021</t>
  </si>
  <si>
    <t>D14（90*220）鍍鋅烤漆鋼板橫 拉門/含8mm清強化視窗玻璃</t>
  </si>
  <si>
    <t>dazhan-142</t>
  </si>
  <si>
    <t>G022</t>
  </si>
  <si>
    <t>二工D14（90*220）鍍鋅烤漆鋼 板横拉門/含8mm清強化視窗 玻璃</t>
  </si>
  <si>
    <t>dazhan-143</t>
  </si>
  <si>
    <t>G023</t>
  </si>
  <si>
    <t>二工D15（260*240）雙開烤漆 鋼板防火門（60A）（含不鏽鋼 門檻）</t>
  </si>
  <si>
    <t>dazhan-144</t>
  </si>
  <si>
    <t>G024</t>
  </si>
  <si>
    <t>FD1（100*220）烤漆鋼板防火 門（60A）/具遮煙性</t>
  </si>
  <si>
    <t>dazhan-145</t>
  </si>
  <si>
    <t>G025</t>
  </si>
  <si>
    <t>二工FD1（100*220）烤漆鋼板 防火門（60A）/具遮煙性</t>
  </si>
  <si>
    <t>dazhan-146</t>
  </si>
  <si>
    <t>G026</t>
  </si>
  <si>
    <t>FD2（120*220）烤漆鋼板防火 門（60A）</t>
  </si>
  <si>
    <t>dazhan-147</t>
  </si>
  <si>
    <t>G027</t>
  </si>
  <si>
    <t>FD3（180*240）烤漆鋼板防火 門（60A）/子母門（含不銹鋼門 檻）</t>
  </si>
  <si>
    <t>dazhan-148</t>
  </si>
  <si>
    <t>G028</t>
  </si>
  <si>
    <t>FD4（100*220）烤漆鋼板防火 門（60A）</t>
  </si>
  <si>
    <t>dazhan-149</t>
  </si>
  <si>
    <t>G029</t>
  </si>
  <si>
    <t>使照FD4（100*220）烤漆鋼板 防火門（60A）</t>
  </si>
  <si>
    <t>dazhan-150</t>
  </si>
  <si>
    <t>G030</t>
  </si>
  <si>
    <t>FD5（205*240）雙開烤漆鋼板 防火門（60A）（含不銹鋼門檻）</t>
  </si>
  <si>
    <t>dazhan-151</t>
  </si>
  <si>
    <t>G031</t>
  </si>
  <si>
    <t>SD1（520*360）電動鋁合金快 速捲門</t>
  </si>
  <si>
    <t>門片雙層/單刷鋁 擠成型白鐵邊柱/ 烤漆封板3面</t>
  </si>
  <si>
    <t>dazhan-152</t>
  </si>
  <si>
    <t>G032</t>
  </si>
  <si>
    <t>SD2（520*400）電動鋁合金快 速捲門</t>
  </si>
  <si>
    <t>dazhan-153</t>
  </si>
  <si>
    <t>G033</t>
  </si>
  <si>
    <t>SFD1（200*380）烤漆鍍鋅防火 鐵捲門（60A）</t>
  </si>
  <si>
    <t>dazhan-154</t>
  </si>
  <si>
    <t>G034</t>
  </si>
  <si>
    <t>SFD2（450*380）烤漆鍍鋅防火 鐵捲門（60A）</t>
  </si>
  <si>
    <t>dazhan-155</t>
  </si>
  <si>
    <t>G035</t>
  </si>
  <si>
    <t>SFD3（455*380）烤漆鍍鋅防火 鐵捲門（60A）</t>
  </si>
  <si>
    <t>dazhan-156</t>
  </si>
  <si>
    <t>G037</t>
  </si>
  <si>
    <t>二工W（110*190）推開鋁窗</t>
  </si>
  <si>
    <t>信元1066-S</t>
  </si>
  <si>
    <t>dazhan-157</t>
  </si>
  <si>
    <t>G038</t>
  </si>
  <si>
    <t>W1（70*140）推開鋁窗</t>
  </si>
  <si>
    <t>dazhan-158</t>
  </si>
  <si>
    <t>G039</t>
  </si>
  <si>
    <t>W1a（60*120）推開鋁窗</t>
  </si>
  <si>
    <t>dazhan-159</t>
  </si>
  <si>
    <t>G040</t>
  </si>
  <si>
    <t>W2（120*330）固定鋁窗</t>
  </si>
  <si>
    <t>信元1066-SU/F</t>
  </si>
  <si>
    <t>dazhan-160</t>
  </si>
  <si>
    <t>G041</t>
  </si>
  <si>
    <t>W3（215*210）横拉鋁窗</t>
  </si>
  <si>
    <t>dazhan-161</t>
  </si>
  <si>
    <t>G042</t>
  </si>
  <si>
    <t>二工W3（215*210）横拉鋁窗</t>
  </si>
  <si>
    <t>dazhan-162</t>
  </si>
  <si>
    <t>G043</t>
  </si>
  <si>
    <t>W4+W5（（425+320）*210）横拉 鋁窗/併窗</t>
  </si>
  <si>
    <t>信元1060-4B+3B</t>
  </si>
  <si>
    <t>dazhan-163</t>
  </si>
  <si>
    <t>G044</t>
  </si>
  <si>
    <t>二工W4+W5（（425+320）*210） 横拉鋁窗/併窗</t>
  </si>
  <si>
    <t>dazhan-164</t>
  </si>
  <si>
    <t>G045</t>
  </si>
  <si>
    <t>二工W4+W5鋁窗預埋框</t>
  </si>
  <si>
    <t>抓920元/M</t>
  </si>
  <si>
    <t>dazhan-165</t>
  </si>
  <si>
    <t>G046</t>
  </si>
  <si>
    <t>W5（320*210）横拉鋁窗</t>
  </si>
  <si>
    <t>信元1060-3B</t>
  </si>
  <si>
    <t>dazhan-166</t>
  </si>
  <si>
    <t>G047</t>
  </si>
  <si>
    <t>W6（200*60）固定鋁窗</t>
  </si>
  <si>
    <t>信元1066-F</t>
  </si>
  <si>
    <t>dazhan-167</t>
  </si>
  <si>
    <t>G048</t>
  </si>
  <si>
    <t>W7（350*80）固定鋁窗</t>
  </si>
  <si>
    <t>dazhan-168</t>
  </si>
  <si>
    <t>G049</t>
  </si>
  <si>
    <t>W9（180*70）推射鋁窗</t>
  </si>
  <si>
    <t>信元1066-SU*2</t>
  </si>
  <si>
    <t>dazhan-169</t>
  </si>
  <si>
    <t>G050</t>
  </si>
  <si>
    <t>W9併（720*70）推射鋁窗/四併</t>
  </si>
  <si>
    <t>信元1066-SU*8</t>
  </si>
  <si>
    <t>dazhan-170</t>
  </si>
  <si>
    <t>G051</t>
  </si>
  <si>
    <t>W10-1（210*330）推射+固定鋁 窗</t>
  </si>
  <si>
    <t>信元1066-SU/F*2</t>
  </si>
  <si>
    <t>dazhan-171</t>
  </si>
  <si>
    <t>G052</t>
  </si>
  <si>
    <t>W10-2（510*330）推射+固定鋁 窗＋推開門</t>
  </si>
  <si>
    <t>信元1066-SU/P*4+ 單開</t>
  </si>
  <si>
    <t>dazhan-172</t>
  </si>
  <si>
    <t>G053</t>
  </si>
  <si>
    <t>W10-3a（810*330）推射+固定 鋁窗</t>
  </si>
  <si>
    <t>信元1066-SU/F*8</t>
  </si>
  <si>
    <t>dazhan-173</t>
  </si>
  <si>
    <t>G054</t>
  </si>
  <si>
    <t>W10-3b（810*330）推射+固定 鋁窗＋推開門</t>
  </si>
  <si>
    <t>信元1066-SU/F*6+ 單開*2</t>
  </si>
  <si>
    <t>dazhan-174</t>
  </si>
  <si>
    <t>G055</t>
  </si>
  <si>
    <t>W12（610*245）固定鋁窗＋雙推 開鋁門</t>
  </si>
  <si>
    <t>信元1066-F*4+雙 開</t>
  </si>
  <si>
    <t>dazhan-175</t>
  </si>
  <si>
    <t>G056</t>
  </si>
  <si>
    <t>W13（（430+150+250）*1050）鋁 帷幕窗</t>
  </si>
  <si>
    <t>dazhan-176</t>
  </si>
  <si>
    <t>G057</t>
  </si>
  <si>
    <t>鋁帷幕防火層問塞</t>
  </si>
  <si>
    <t>dazhan-177</t>
  </si>
  <si>
    <t>G058</t>
  </si>
  <si>
    <t>BW1（120*120）防火百葉窗（鍍 鋅鋼板）60A</t>
  </si>
  <si>
    <t>dazhan-178</t>
  </si>
  <si>
    <t>G059</t>
  </si>
  <si>
    <t>BW2（810*70）鋁百葉窗</t>
  </si>
  <si>
    <t>信元/固定式</t>
  </si>
  <si>
    <t>dazhan-179</t>
  </si>
  <si>
    <t>G060</t>
  </si>
  <si>
    <t>5mm強化玻璃（灰）</t>
  </si>
  <si>
    <t>才</t>
  </si>
  <si>
    <t>D7</t>
  </si>
  <si>
    <t>dazhan-180</t>
  </si>
  <si>
    <t>G061</t>
  </si>
  <si>
    <t>5MM+5MM膠合玻璃（雙強）/灰＋清</t>
  </si>
  <si>
    <t>dazhan-181</t>
  </si>
  <si>
    <t>G062</t>
  </si>
  <si>
    <t>5MM+5MM膠合玻璃（雙強） /灰＋清/W7超大</t>
  </si>
  <si>
    <t>dazhan-182</t>
  </si>
  <si>
    <t>G063</t>
  </si>
  <si>
    <t>5MM+5MM膠 合玻璃（雙強） /灰＋清/W13鋁帷幕</t>
  </si>
  <si>
    <t>dazhan-183</t>
  </si>
  <si>
    <t>G064</t>
  </si>
  <si>
    <t>門窗嵌縫/鋁門窗</t>
  </si>
  <si>
    <t>dazhan-184</t>
  </si>
  <si>
    <t>G065</t>
  </si>
  <si>
    <t>門窗嵌縫/金屬門</t>
  </si>
  <si>
    <t>dazhan-185</t>
  </si>
  <si>
    <t>G066</t>
  </si>
  <si>
    <t>窗框彈泥/結構體</t>
  </si>
  <si>
    <t>慶泰单液弹泥/ 估價書備註說明</t>
  </si>
  <si>
    <t>dazhan-186</t>
  </si>
  <si>
    <t>G067</t>
  </si>
  <si>
    <t>窗框下緣/不垂流PU</t>
  </si>
  <si>
    <t>不垂流PU/詳估價 書備註說明</t>
  </si>
  <si>
    <t>dazhan-187</t>
  </si>
  <si>
    <t>G068</t>
  </si>
  <si>
    <t>門窗框防水矽力康/GM</t>
  </si>
  <si>
    <t>道康寧#GM</t>
  </si>
  <si>
    <t>dazhan-188</t>
  </si>
  <si>
    <t>G069</t>
  </si>
  <si>
    <t>門窗框防水矽力康/#818</t>
  </si>
  <si>
    <t>道康寧#818</t>
  </si>
  <si>
    <t>dazhan-189</t>
  </si>
  <si>
    <t>H001</t>
  </si>
  <si>
    <t>樓梯實木扶手H80cm</t>
  </si>
  <si>
    <t>設備、雜項及室外</t>
  </si>
  <si>
    <t>dazhan-190</t>
  </si>
  <si>
    <t>H002</t>
  </si>
  <si>
    <t>無障礙坡道不銹鋼欄杆H95cm</t>
  </si>
  <si>
    <t>毛絲面</t>
  </si>
  <si>
    <t>dazhan-191</t>
  </si>
  <si>
    <t>H003</t>
  </si>
  <si>
    <t>側掛式不銹鋼欄杆崁玻璃 H175cm（毛絲面）</t>
  </si>
  <si>
    <t>IMF參觀平台</t>
  </si>
  <si>
    <t>dazhan-192</t>
  </si>
  <si>
    <t>H004</t>
  </si>
  <si>
    <t>陽台不銹鋼欄杆H100cm</t>
  </si>
  <si>
    <t>dazhan-193</t>
  </si>
  <si>
    <t>H005</t>
  </si>
  <si>
    <t>陽台不銹鋼欄杆滑軌門 （L630*H110cm）</t>
  </si>
  <si>
    <t>dazhan-194</t>
  </si>
  <si>
    <t>H006</t>
  </si>
  <si>
    <t>（80*80）不銹鋼人孔蓋（上掀 式）/消防水池</t>
  </si>
  <si>
    <t>dazhan-195</t>
  </si>
  <si>
    <t>H007</t>
  </si>
  <si>
    <t>2"*1"不銹鋼爬梯H125cm/消 防水池</t>
  </si>
  <si>
    <t>dazhan-196</t>
  </si>
  <si>
    <t>H008</t>
  </si>
  <si>
    <t>2"*1"不鏽鋼爬梯H650cm（含 彎.含護籠）/屋頂平台</t>
  </si>
  <si>
    <t>dazhan-197</t>
  </si>
  <si>
    <t>H009</t>
  </si>
  <si>
    <t>廁所搗擺（ABS素色）H210cm</t>
  </si>
  <si>
    <t>dazhan-198</t>
  </si>
  <si>
    <t>H010</t>
  </si>
  <si>
    <t>小便斗隔屏（45*90cm）</t>
  </si>
  <si>
    <t>dazhan-199</t>
  </si>
  <si>
    <t>H011</t>
  </si>
  <si>
    <t>不鏽鋼門檻L180cm/D11</t>
  </si>
  <si>
    <t>dazhan-200</t>
  </si>
  <si>
    <t>H012</t>
  </si>
  <si>
    <t>不鏽鋼門檻L205cm/W12</t>
  </si>
  <si>
    <t>dazhan-201</t>
  </si>
  <si>
    <t>H013</t>
  </si>
  <si>
    <t>人造石門檻L80cm/DI</t>
  </si>
  <si>
    <t>dazhan-202</t>
  </si>
  <si>
    <t>H014</t>
  </si>
  <si>
    <t>不銹鋼截水溝L100cm/D2</t>
  </si>
  <si>
    <t>dazhan-203</t>
  </si>
  <si>
    <t>H015</t>
  </si>
  <si>
    <t>不銹鋼截水溝 L110cm/D13*1+D2*2+1F通道</t>
  </si>
  <si>
    <t>dazhan-204</t>
  </si>
  <si>
    <t>H016</t>
  </si>
  <si>
    <t>不銹鋼截水溝L130cm/2F通道</t>
  </si>
  <si>
    <t>dazhan-205</t>
  </si>
  <si>
    <t>H018</t>
  </si>
  <si>
    <t>無障礙地坪警示帶/電梯 （30*60）</t>
  </si>
  <si>
    <t>dazhan-206</t>
  </si>
  <si>
    <t>H019</t>
  </si>
  <si>
    <t>無障礙地坪警示帶/樓梯 （30*120）</t>
  </si>
  <si>
    <t>dazhan-207</t>
  </si>
  <si>
    <t>H020</t>
  </si>
  <si>
    <t>無障礙標示牌</t>
  </si>
  <si>
    <t>dazhan-208</t>
  </si>
  <si>
    <t>K001</t>
  </si>
  <si>
    <t>東向正立面前戶外地坪結構 體工程</t>
  </si>
  <si>
    <t>整體粉光（刷毛）- 無裝修材</t>
  </si>
  <si>
    <t>dazhan-209</t>
  </si>
  <si>
    <t>K002</t>
  </si>
  <si>
    <t>（2. 5CMD）10人份RC預鑄式污 水處理設施</t>
  </si>
  <si>
    <t>dazhan-210</t>
  </si>
  <si>
    <t>K003</t>
  </si>
  <si>
    <t>污水處理鑄鐵蓋</t>
  </si>
  <si>
    <t>dazhan-211</t>
  </si>
  <si>
    <t>K004</t>
  </si>
  <si>
    <t>RC開關閥箱（含蓋）</t>
  </si>
  <si>
    <t>只</t>
  </si>
  <si>
    <t>dazhan-212</t>
  </si>
  <si>
    <t>K005</t>
  </si>
  <si>
    <t>自設汙水陰井人孔（內徑孕 90*175）/含蓋</t>
  </si>
  <si>
    <t>dazhan-213</t>
  </si>
  <si>
    <t>K009</t>
  </si>
  <si>
    <t>集水陰井（含鍍鋅格柵 蓋）/（內徑60*60*90）</t>
  </si>
  <si>
    <t>dazhan-214</t>
  </si>
  <si>
    <t>K010</t>
  </si>
  <si>
    <t>6"PVC排水暗管工程</t>
  </si>
  <si>
    <t>dazhan-215</t>
  </si>
  <si>
    <t>K011</t>
  </si>
  <si>
    <t>使照綠化工程</t>
  </si>
  <si>
    <t>dazhan-216</t>
  </si>
  <si>
    <t>K012</t>
  </si>
  <si>
    <t>使照停車位劃線工程</t>
  </si>
  <si>
    <t>dazhan-217</t>
  </si>
  <si>
    <t>K013</t>
  </si>
  <si>
    <t>使照臨時隔間工程</t>
  </si>
  <si>
    <t>dazhan-218</t>
  </si>
  <si>
    <t>P001</t>
  </si>
  <si>
    <t>總表費用</t>
  </si>
  <si>
    <t>運什、安衛及保險</t>
  </si>
  <si>
    <t>dazhan-219</t>
  </si>
  <si>
    <t>P002</t>
  </si>
  <si>
    <t>安全防護措施</t>
  </si>
  <si>
    <t>dazhan-220</t>
  </si>
  <si>
    <t>P003</t>
  </si>
  <si>
    <t>結構體粗胚清潔及生活垃圾 清運</t>
  </si>
  <si>
    <t>dazhan-221</t>
  </si>
  <si>
    <t>P004</t>
  </si>
  <si>
    <t>交屋清潔工程</t>
  </si>
  <si>
    <t>dazhan-222</t>
  </si>
  <si>
    <t>P005</t>
  </si>
  <si>
    <t>主管機關相關流程跑照費用</t>
  </si>
  <si>
    <t>dazhan-223</t>
  </si>
  <si>
    <t>P006</t>
  </si>
  <si>
    <t>勞工安全衛生管理費</t>
  </si>
  <si>
    <t>dazhan-224</t>
  </si>
  <si>
    <t>P007</t>
  </si>
  <si>
    <t>工程綜合保險費</t>
  </si>
  <si>
    <t>dazhan-225</t>
  </si>
  <si>
    <t>Q001</t>
  </si>
  <si>
    <t>管理及利潤</t>
  </si>
  <si>
    <t>dazhan-226</t>
  </si>
  <si>
    <t>Z002</t>
  </si>
  <si>
    <t>利潤</t>
  </si>
  <si>
    <t>dazhan-227</t>
  </si>
  <si>
    <t>Z003</t>
  </si>
  <si>
    <t>稅捐</t>
  </si>
  <si>
    <t>來源與報價條款</t>
  </si>
  <si>
    <t>內容類型</t>
  </si>
  <si>
    <t>原文／整理說明</t>
  </si>
  <si>
    <t>來源PDF</t>
  </si>
  <si>
    <t>115.09.30-大展營造-工程估價書.pdf</t>
  </si>
  <si>
    <t>提供文件頁數</t>
  </si>
  <si>
    <t>20</t>
  </si>
  <si>
    <t>整理原則</t>
  </si>
  <si>
    <t>原複價為分析基礎；未列價不當零元；數量×單價僅供核對。</t>
  </si>
  <si>
    <t>原報價一般備註（掃描轉錄）</t>
  </si>
  <si>
    <t>備註說明：</t>
  </si>
  <si>
    <t>天營造股份有限公司</t>
  </si>
  <si>
    <t>壹、本估價自報價日起7天內有效。</t>
  </si>
  <si>
    <t>* 115.9.30需</t>
  </si>
  <si>
    <t>貳、報價單項目說明如下：</t>
  </si>
  <si>
    <t>報價專用章</t>
  </si>
  <si>
    <t>1、不含臨時水電申請外管線路費、空氣汙染防制費</t>
  </si>
  <si>
    <t>/待主管機關設定完成後由業主自理繳費。 | 估算成控</t>
  </si>
  <si>
    <t>2、不含衛浴設備及承裝工程、安全維護設備及承裝工程、機電設備及承裝工程。</t>
  </si>
  <si>
    <t>3、不含電梯設備及承裝工程（業主自理）/施工階段須無償提供營造借用電梯使用。</t>
  </si>
  <si>
    <t>4、10人份污水處理設施採RC預鑄式報價（免另施作護體）</t>
  </si>
  <si>
    <t>5、依建照綠化檢討區域留設戶外地坪（僅估列至整體粉光（刷毛）-無裝修材）、草皮、</t>
  </si>
  <si>
    <t>植草磚/使照請領後無移除。</t>
  </si>
  <si>
    <t>6、土方工程報價係依鑽探報告先行估列，如經現場實際開挖</t>
  </si>
  <si>
    <t>a.現場土方狀況與鑽探報告不吻合，造成需增加額外清運及證明時（ex：營建廢棄物、</t>
  </si>
  <si>
    <t>、垃圾⋯•等），則依實際發生費用辦理追加。</t>
  </si>
  <si>
    <t>b.地下水位情形與鑽探報告不吻合（依鑽探報告鑽探深度內未達水位採無抽束水形式</t>
  </si>
  <si>
    <t>報價）造成需增加額外增加工項時，則依實際發生費用辦理追加。</t>
  </si>
  <si>
    <t>7、週日不施工，如遇週六遭鄰房檢舉要求亦不得施工的話，工期及管理費另計。</t>
  </si>
  <si>
    <t>參、室內外裝修建材依本估價單備註標示品牌型號為主。</t>
  </si>
  <si>
    <t>肆、門窗工程</t>
  </si>
  <si>
    <t>1.鋁門窗：信元</t>
  </si>
  <si>
    <t>一粉體塗裝（普色）/五金依標配</t>
  </si>
  <si>
    <t>一橫拉窗採SY1060型35等級氣密窗/國產尼龍網/不含連動把手，含開口限制器</t>
  </si>
  <si>
    <t>一推開窗採SY1066型30等級氣密窗/折疊式紗窗/不含連動把手，不含開口限制器</t>
  </si>
  <si>
    <t>700型鋁門採內扇立料7.5cm型/把手鎖，旗型後鈕/不含門弓器，不含紗門</t>
  </si>
  <si>
    <t>一通風門採三之二型/把手鎖.ST型後鈕/不含門弓器</t>
  </si>
  <si>
    <t>一按裝方式：點焊按裝，道康寧#791</t>
  </si>
  <si>
    <t>2. 門窗玻璃：D7三合一通風門採5mm灰強化玻璃</t>
  </si>
  <si>
    <t>其餘採5mm灰+5mm清雙強化膠合玻璃</t>
  </si>
  <si>
    <t>伍、防水工程規範</t>
  </si>
  <si>
    <t>1、浴廁地坪及牆面彈泥防水處理/H120</t>
  </si>
  <si>
    <t>/慶泰C-166單液型+AC一底二塗彈泥＋益膠泥保護（3mm）</t>
  </si>
  <si>
    <t>2、浴廁L角防水（輕隔問處）</t>
  </si>
  <si>
    <t>/不垂流手拌聚脲WP-1018ST+底漆石英砂/角（平面10cm/立面5cm）</t>
  </si>
  <si>
    <t>3、L角PU+彈泥防水（有覆蓋材）/陽台</t>
  </si>
  <si>
    <t>/慶泰C-166單液型+AC一底二塗彈泥+益膠泥保護/角一底二塗不垂流PU．</t>
  </si>
  <si>
    <t>（BP-333+WP-199T*2道）＋底漆石英砂/H=30cm</t>
  </si>
  <si>
    <t>4、地坪彈泥防水（外廊）</t>
  </si>
  <si>
    <t>/慶泰C-166單液型+AC-底二塗彈泥</t>
  </si>
  <si>
    <t>5、外牆彈泥防水（結構體）/鋁包板. 企口版處、（打底面）/貼磚處</t>
  </si>
  <si>
    <t>6、帽蓋防水（打底面）</t>
  </si>
  <si>
    <t>/雙側向下延伸5cm/慶泰C-166單液型+AC一底二塗彈泥</t>
  </si>
  <si>
    <t>7、樓層接縫防水（結構體）</t>
  </si>
  <si>
    <t>/N-上20cm+下20cm/慶泰C-166單液型+AC-底二塗彈泥</t>
  </si>
  <si>
    <t>8、二工接縫防水</t>
  </si>
  <si>
    <t>/不垂流聚脲WP-1018ST施作（左右各15cm）一底一中塗+底漆石英砂</t>
  </si>
  <si>
    <t>9、窗框防水（結構體）</t>
  </si>
  <si>
    <t>/慶泰C-166單液型+AC一底二塗彈泥</t>
  </si>
  <si>
    <t>10、窗框下緣防水（結構體）</t>
  </si>
  <si>
    <t>/慶泰單液WP-199T二道＋底漆石英砂（W30cm/向上延伸20cm）</t>
  </si>
  <si>
    <t>11、3mm單液PU防水（東向正立面牌樓RF版頂）</t>
  </si>
  <si>
    <t>有覆蓋材：慶泰一底二塗BP-333+ WP199T *3mm/L角一底二塗不垂流PU（BP-333</t>
  </si>
  <si>
    <t>+WP-199T）+底漆石英砂/H=30cm</t>
  </si>
  <si>
    <t>無覆蓋材：慶泰一底二塗BP-333+WP199 *3mm/L角一底二塗不垂流PU（BP-333+WP-102</t>
  </si>
  <si>
    <t>+TC-992*2道）/H=30cm</t>
  </si>
  <si>
    <t>12、3mm聚脲防水處理（1MF露台、星頂平台、屋突平台）</t>
  </si>
  <si>
    <t>（手拌）有覆蓋：慶泰3mm手拌聚脲PRA-100+WP-1018二道＋底漆石英砂</t>
  </si>
  <si>
    <t>（手拌）無覆蓋：慶泰3mm手拌聚脲PRA-100+WP-1018二道+URE-007*2道</t>
  </si>
  <si>
    <t>（噴塗）有覆蓋：L角不垂流WP1018ST/底漆PRA-100+（1mm）WP-1018+（2mm）CTU-3000</t>
  </si>
  <si>
    <t>†底漆石英砂</t>
  </si>
  <si>
    <t>（噴塗）無覆蓋：L角不垂流WP1018ST/底漆PRA-100+（1mm）WP-1018+（2mm）CTU-3000</t>
  </si>
  <si>
    <t>+二道面漆URE-007</t>
  </si>
  <si>
    <t>13、防水粉刷-電梯機坑、消防水池/添加固德強防水砂漿</t>
  </si>
  <si>
    <t>~以下空白~</t>
  </si>
  <si>
    <t>文件與整理方式</t>
  </si>
  <si>
    <t>PDF實際20頁，頁首標示共41頁；本次已整理提供的20頁，須確認是否尚有附件。 原始PDF保留；金額以原複價為準，乘算差額另列。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</si>
</sst>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[Red]\(#,##0.00\);&quot;–&quot;"/>
    <numFmt numFmtId="177" formatCode="#,##0;[Red]\(#,##0\);&quot;–&quot;"/>
  </numFmts>
  <fonts count="10">
    <font>
      <sz val="11"/>
      <name val="Carlito"/>
    </font>
    <font>
      <b/>
      <sz val="16"/>
      <color rgb="FF17324D"/>
      <name val="Arial"/>
      <family val="2"/>
    </font>
    <font>
      <b/>
      <sz val="11"/>
      <color rgb="FFFFFFFF"/>
      <name val="Arial"/>
      <family val="2"/>
    </font>
    <font>
      <sz val="11"/>
      <color rgb="FF263749"/>
      <name val="Arial"/>
      <family val="2"/>
    </font>
    <font>
      <sz val="11"/>
      <color rgb="FF1D5C99"/>
      <name val="Arial"/>
      <family val="2"/>
    </font>
    <font>
      <sz val="11"/>
      <color rgb="FF58677B"/>
      <name val="Arial"/>
      <family val="2"/>
    </font>
    <font>
      <b/>
      <sz val="11"/>
      <color rgb="FF263749"/>
      <name val="Arial"/>
      <family val="2"/>
    </font>
    <font>
      <b/>
      <sz val="11"/>
      <color rgb="FFFFFFFF"/>
      <name val="Carlito"/>
    </font>
    <font>
      <sz val="11"/>
      <name val="Carlito"/>
    </font>
    <font>
      <sz val="9"/>
      <name val="Wawati TC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2F5F8"/>
      </patternFill>
    </fill>
    <fill>
      <patternFill patternType="solid">
        <fgColor rgb="FFE2EB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1" fillId="0" borderId="0" xfId="1" applyFont="1"/>
    <xf numFmtId="0" fontId="2" fillId="2" borderId="0" xfId="1" applyFont="1" applyFill="1" applyAlignment="1">
      <alignment horizontal="center" vertical="center" wrapText="1"/>
    </xf>
    <xf numFmtId="0" fontId="3" fillId="0" borderId="0" xfId="1" applyFont="1"/>
    <xf numFmtId="0" fontId="3" fillId="0" borderId="0" xfId="1" applyFont="1" applyAlignment="1">
      <alignment wrapText="1"/>
    </xf>
    <xf numFmtId="0" fontId="3" fillId="0" borderId="0" xfId="1" applyFont="1" applyAlignment="1">
      <alignment vertical="center" wrapText="1"/>
    </xf>
    <xf numFmtId="0" fontId="3" fillId="3" borderId="0" xfId="1" applyFont="1" applyFill="1" applyAlignment="1">
      <alignment vertical="center" wrapText="1"/>
    </xf>
    <xf numFmtId="177" fontId="3" fillId="0" borderId="0" xfId="1" applyNumberFormat="1" applyFont="1" applyAlignment="1">
      <alignment vertical="center" wrapText="1"/>
    </xf>
    <xf numFmtId="177" fontId="3" fillId="3" borderId="0" xfId="1" applyNumberFormat="1" applyFont="1" applyFill="1" applyAlignment="1">
      <alignment vertical="center" wrapText="1"/>
    </xf>
    <xf numFmtId="176" fontId="4" fillId="0" borderId="0" xfId="1" applyNumberFormat="1" applyFont="1" applyAlignment="1">
      <alignment vertical="center" wrapText="1"/>
    </xf>
    <xf numFmtId="177" fontId="4" fillId="0" borderId="0" xfId="1" applyNumberFormat="1" applyFont="1" applyAlignment="1">
      <alignment vertical="center" wrapText="1"/>
    </xf>
    <xf numFmtId="176" fontId="4" fillId="3" borderId="0" xfId="1" applyNumberFormat="1" applyFont="1" applyFill="1" applyAlignment="1">
      <alignment vertical="center" wrapText="1"/>
    </xf>
    <xf numFmtId="177" fontId="4" fillId="3" borderId="0" xfId="1" applyNumberFormat="1" applyFont="1" applyFill="1" applyAlignment="1">
      <alignment vertical="center" wrapText="1"/>
    </xf>
    <xf numFmtId="0" fontId="5" fillId="0" borderId="0" xfId="1" applyFont="1"/>
    <xf numFmtId="177" fontId="0" fillId="0" borderId="0" xfId="1" applyNumberFormat="1" applyFont="1"/>
    <xf numFmtId="0" fontId="6" fillId="4" borderId="0" xfId="1" applyFont="1" applyFill="1"/>
    <xf numFmtId="177" fontId="6" fillId="4" borderId="0" xfId="1" applyNumberFormat="1" applyFont="1" applyFill="1"/>
    <xf numFmtId="177" fontId="3" fillId="0" borderId="0" xfId="1" applyNumberFormat="1" applyFont="1"/>
    <xf numFmtId="177" fontId="3" fillId="0" borderId="0" xfId="1" applyNumberFormat="1" applyFont="1" applyAlignment="1">
      <alignment wrapText="1"/>
    </xf>
    <xf numFmtId="0" fontId="7" fillId="2" borderId="0" xfId="1" applyFont="1" applyFill="1"/>
  </cellXfs>
  <cellStyles count="2">
    <cellStyle name="Normal" xfId="1" xr:uid="{00000000-0005-0000-0000-000000000000}"/>
    <cellStyle name="一般" xfId="0" builtinId="0"/>
  </cellStyles>
  <dxfs count="2">
    <dxf>
      <font>
        <b/>
        <color rgb="FF9C421A"/>
      </font>
      <fill>
        <patternFill patternType="solid">
          <bgColor rgb="FFFFF0D9"/>
        </patternFill>
      </fill>
    </dxf>
    <dxf>
      <font>
        <b/>
        <color rgb="FF9C421A"/>
      </font>
      <fill>
        <patternFill patternType="solid">
          <bgColor rgb="FFFF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2" displayName="Detail2" ref="A5:P232" totalsRowShown="0">
  <autoFilter ref="A5:P232" xr:uid="{00000000-000C-0000-FFFF-FFFF00000000}"/>
  <tableColumns count="16">
    <tableColumn id="1" xr3:uid="{00000000-0010-0000-0000-000001000000}" name="資料ID"/>
    <tableColumn id="2" xr3:uid="{00000000-0010-0000-0000-000002000000}" name="原分類"/>
    <tableColumn id="3" xr3:uid="{00000000-0010-0000-0000-000003000000}" name="子分類"/>
    <tableColumn id="4" xr3:uid="{00000000-0010-0000-0000-000004000000}" name="原項次"/>
    <tableColumn id="5" xr3:uid="{00000000-0010-0000-0000-000005000000}" name="工程項目／規格"/>
    <tableColumn id="6" xr3:uid="{00000000-0010-0000-0000-000006000000}" name="單位"/>
    <tableColumn id="7" xr3:uid="{00000000-0010-0000-0000-000007000000}" name="數量"/>
    <tableColumn id="8" xr3:uid="{00000000-0010-0000-0000-000008000000}" name="原單價"/>
    <tableColumn id="9" xr3:uid="{00000000-0010-0000-0000-000009000000}" name="原複價"/>
    <tableColumn id="10" xr3:uid="{00000000-0010-0000-0000-00000A000000}" name="數量×單價"/>
    <tableColumn id="11" xr3:uid="{00000000-0010-0000-0000-00000B000000}" name="原複價減乘算"/>
    <tableColumn id="12" xr3:uid="{00000000-0010-0000-0000-00000C000000}" name="品牌／原備註"/>
    <tableColumn id="13" xr3:uid="{00000000-0010-0000-0000-00000D000000}" name="PDF頁"/>
    <tableColumn id="14" xr3:uid="{00000000-0010-0000-0000-00000E000000}" name="性質"/>
    <tableColumn id="15" xr3:uid="{00000000-0010-0000-0000-00000F000000}" name="統一比較分類"/>
    <tableColumn id="16" xr3:uid="{00000000-0010-0000-0000-000010000000}" name="核對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2"/>
  <sheetViews>
    <sheetView showGridLines="0" workbookViewId="0">
      <pane ySplit="5" topLeftCell="A14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4" width="20" customWidth="1"/>
    <col min="5" max="5" width="80" customWidth="1"/>
  </cols>
  <sheetData>
    <row r="2" spans="1:5" ht="19.200000762939453" customHeight="1">
      <c r="A2" s="1" t="s">
        <v>0</v>
      </c>
    </row>
    <row r="3" spans="1:5" ht="14" customHeight="1">
      <c r="A3" s="13" t="s">
        <v>1</v>
      </c>
    </row>
    <row r="5" spans="1:5" ht="14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ht="14" customHeight="1">
      <c r="A6" s="5" t="s">
        <v>7</v>
      </c>
      <c r="B6" s="7">
        <v>3604928</v>
      </c>
      <c r="C6" s="7">
        <f>SUMIFS(報價明細!$I$6:$I$232,報價明細!$B$6:$B$232,A6)</f>
        <v>3604928</v>
      </c>
      <c r="D6" s="7">
        <f t="shared" ref="D6:D17" si="0">C6-B6</f>
        <v>0</v>
      </c>
      <c r="E6" s="5"/>
    </row>
    <row r="7" spans="1:5" ht="14" customHeight="1">
      <c r="A7" s="6" t="s">
        <v>8</v>
      </c>
      <c r="B7" s="8">
        <v>1637383</v>
      </c>
      <c r="C7" s="8">
        <f>SUMIFS(報價明細!$I$6:$I$232,報價明細!$B$6:$B$232,A7)</f>
        <v>1637383</v>
      </c>
      <c r="D7" s="8">
        <f t="shared" si="0"/>
        <v>0</v>
      </c>
      <c r="E7" s="6"/>
    </row>
    <row r="8" spans="1:5" ht="14" customHeight="1">
      <c r="A8" s="5" t="s">
        <v>9</v>
      </c>
      <c r="B8" s="7">
        <v>31302484</v>
      </c>
      <c r="C8" s="7">
        <f>SUMIFS(報價明細!$I$6:$I$232,報價明細!$B$6:$B$232,A8)</f>
        <v>31302484</v>
      </c>
      <c r="D8" s="7">
        <f t="shared" si="0"/>
        <v>0</v>
      </c>
      <c r="E8" s="5"/>
    </row>
    <row r="9" spans="1:5" ht="14" customHeight="1">
      <c r="A9" s="6" t="s">
        <v>10</v>
      </c>
      <c r="B9" s="8">
        <v>38156185</v>
      </c>
      <c r="C9" s="8">
        <f>SUMIFS(報價明細!$I$6:$I$232,報價明細!$B$6:$B$232,A9)</f>
        <v>38156185</v>
      </c>
      <c r="D9" s="8">
        <f t="shared" si="0"/>
        <v>0</v>
      </c>
      <c r="E9" s="6"/>
    </row>
    <row r="10" spans="1:5" ht="14" customHeight="1">
      <c r="A10" s="5" t="s">
        <v>11</v>
      </c>
      <c r="B10" s="7">
        <v>20184097</v>
      </c>
      <c r="C10" s="7">
        <f>SUMIFS(報價明細!$I$6:$I$232,報價明細!$B$6:$B$232,A10)</f>
        <v>20184097</v>
      </c>
      <c r="D10" s="7">
        <f t="shared" si="0"/>
        <v>0</v>
      </c>
      <c r="E10" s="5"/>
    </row>
    <row r="11" spans="1:5" ht="14" customHeight="1">
      <c r="A11" s="6" t="s">
        <v>12</v>
      </c>
      <c r="B11" s="8">
        <v>12011044</v>
      </c>
      <c r="C11" s="8">
        <f>SUMIFS(報價明細!$I$6:$I$232,報價明細!$B$6:$B$232,A11)</f>
        <v>12011044</v>
      </c>
      <c r="D11" s="8">
        <f t="shared" si="0"/>
        <v>0</v>
      </c>
      <c r="E11" s="6"/>
    </row>
    <row r="12" spans="1:5" ht="14" customHeight="1">
      <c r="A12" s="5" t="s">
        <v>13</v>
      </c>
      <c r="B12" s="7">
        <v>7140806</v>
      </c>
      <c r="C12" s="7">
        <f>SUMIFS(報價明細!$I$6:$I$232,報價明細!$B$6:$B$232,A12)</f>
        <v>7140806</v>
      </c>
      <c r="D12" s="7">
        <f t="shared" si="0"/>
        <v>0</v>
      </c>
      <c r="E12" s="5"/>
    </row>
    <row r="13" spans="1:5" ht="14" customHeight="1">
      <c r="A13" s="6" t="s">
        <v>14</v>
      </c>
      <c r="B13" s="8">
        <v>1096267</v>
      </c>
      <c r="C13" s="8">
        <f>SUMIFS(報價明細!$I$6:$I$232,報價明細!$B$6:$B$232,A13)</f>
        <v>1096267</v>
      </c>
      <c r="D13" s="8">
        <f t="shared" si="0"/>
        <v>0</v>
      </c>
      <c r="E13" s="6"/>
    </row>
    <row r="14" spans="1:5" ht="14" customHeight="1">
      <c r="A14" s="5" t="s">
        <v>15</v>
      </c>
      <c r="B14" s="7">
        <v>2714454</v>
      </c>
      <c r="C14" s="7">
        <f>SUMIFS(報價明細!$I$6:$I$232,報價明細!$B$6:$B$232,A14)</f>
        <v>2714454</v>
      </c>
      <c r="D14" s="7">
        <f t="shared" si="0"/>
        <v>0</v>
      </c>
      <c r="E14" s="5"/>
    </row>
    <row r="15" spans="1:5" ht="14" customHeight="1">
      <c r="A15" s="6" t="s">
        <v>16</v>
      </c>
      <c r="B15" s="8">
        <v>3605864</v>
      </c>
      <c r="C15" s="8">
        <f>SUMIFS(報價明細!$I$6:$I$232,報價明細!$B$6:$B$232,A15)</f>
        <v>3605864</v>
      </c>
      <c r="D15" s="8">
        <f t="shared" si="0"/>
        <v>0</v>
      </c>
      <c r="E15" s="6"/>
    </row>
    <row r="16" spans="1:5" ht="14" customHeight="1">
      <c r="A16" s="5" t="s">
        <v>17</v>
      </c>
      <c r="B16" s="7">
        <v>11319467</v>
      </c>
      <c r="C16" s="7">
        <f>SUMIFS(報價明細!$I$6:$I$232,報價明細!$B$6:$B$232,A16)</f>
        <v>11319467</v>
      </c>
      <c r="D16" s="7">
        <f t="shared" si="0"/>
        <v>0</v>
      </c>
      <c r="E16" s="5"/>
    </row>
    <row r="17" spans="1:5" ht="14" customHeight="1">
      <c r="A17" s="6" t="s">
        <v>18</v>
      </c>
      <c r="B17" s="8">
        <v>8729824</v>
      </c>
      <c r="C17" s="8">
        <f>SUMIFS(報價明細!$I$6:$I$232,報價明細!$B$6:$B$232,A17)</f>
        <v>8729824</v>
      </c>
      <c r="D17" s="8">
        <f t="shared" si="0"/>
        <v>0</v>
      </c>
      <c r="E17" s="6"/>
    </row>
    <row r="18" spans="1:5" ht="14" customHeight="1">
      <c r="B18" s="14"/>
      <c r="C18" s="14"/>
      <c r="D18" s="14"/>
    </row>
    <row r="19" spans="1:5" ht="14" customHeight="1">
      <c r="A19" s="15" t="s">
        <v>19</v>
      </c>
      <c r="B19" s="16">
        <v>141502803</v>
      </c>
      <c r="C19" s="16">
        <f>SUM(報價明細!I6:I232)</f>
        <v>141502803</v>
      </c>
      <c r="D19" s="16">
        <f>C19-B19</f>
        <v>0</v>
      </c>
      <c r="E19" s="15" t="s">
        <v>20</v>
      </c>
    </row>
    <row r="20" spans="1:5" ht="14" customHeight="1">
      <c r="A20" s="3" t="s">
        <v>21</v>
      </c>
      <c r="B20" s="17">
        <v>134764574</v>
      </c>
      <c r="C20" s="17"/>
      <c r="D20" s="17"/>
      <c r="E20" s="3" t="s">
        <v>22</v>
      </c>
    </row>
    <row r="21" spans="1:5" ht="14" customHeight="1">
      <c r="A21" s="3" t="s">
        <v>23</v>
      </c>
      <c r="B21" s="17">
        <v>6738229</v>
      </c>
      <c r="C21" s="17"/>
      <c r="D21" s="17"/>
      <c r="E21" s="3" t="s">
        <v>24</v>
      </c>
    </row>
    <row r="22" spans="1:5" ht="14" customHeight="1">
      <c r="A22" s="3" t="s">
        <v>25</v>
      </c>
      <c r="B22" s="18" t="s">
        <v>26</v>
      </c>
      <c r="C22" s="18"/>
      <c r="D22" s="18"/>
      <c r="E22" s="4" t="s">
        <v>27</v>
      </c>
    </row>
    <row r="23" spans="1:5" ht="14" customHeight="1">
      <c r="A23" s="3" t="s">
        <v>28</v>
      </c>
      <c r="B23" s="4" t="s">
        <v>29</v>
      </c>
      <c r="C23" s="4"/>
      <c r="D23" s="4"/>
      <c r="E23" s="4" t="s">
        <v>30</v>
      </c>
    </row>
    <row r="24" spans="1:5" ht="14" customHeight="1">
      <c r="A24" s="3" t="s">
        <v>31</v>
      </c>
      <c r="B24" s="4" t="s">
        <v>32</v>
      </c>
      <c r="C24" s="4"/>
      <c r="D24" s="4"/>
      <c r="E24" s="4" t="s">
        <v>33</v>
      </c>
    </row>
    <row r="25" spans="1:5" ht="14" customHeight="1">
      <c r="A25" s="3" t="s">
        <v>34</v>
      </c>
      <c r="B25" s="4">
        <v>227</v>
      </c>
      <c r="C25" s="4"/>
      <c r="D25" s="4"/>
      <c r="E25" s="4" t="s">
        <v>35</v>
      </c>
    </row>
    <row r="27" spans="1:5" ht="14" customHeight="1">
      <c r="A27" t="s">
        <v>36</v>
      </c>
    </row>
    <row r="28" spans="1:5" ht="28" customHeight="1"/>
    <row r="29" spans="1:5" ht="14" customHeight="1">
      <c r="A29" t="s">
        <v>37</v>
      </c>
    </row>
    <row r="32" spans="1:5" ht="14" customHeight="1">
      <c r="A32" s="19" t="s">
        <v>38</v>
      </c>
      <c r="B32" s="19" t="s">
        <v>3</v>
      </c>
      <c r="C32" s="19" t="s">
        <v>4</v>
      </c>
      <c r="D32" s="19" t="s">
        <v>5</v>
      </c>
      <c r="E32" s="19" t="s">
        <v>39</v>
      </c>
    </row>
  </sheetData>
  <phoneticPr fontId="9" type="noConversion"/>
  <conditionalFormatting sqref="D6:D19">
    <cfRule type="cellIs" dxfId="1" priority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32"/>
  <sheetViews>
    <sheetView showGridLines="0" tabSelected="1" workbookViewId="0">
      <pane xSplit="4" ySplit="5" topLeftCell="E6" activePane="bottomRight" state="frozen"/>
      <selection pane="topRight"/>
      <selection pane="bottomLeft"/>
      <selection pane="bottomRight" activeCell="E10" sqref="E10"/>
    </sheetView>
  </sheetViews>
  <sheetFormatPr baseColWidth="10" defaultColWidth="8.83203125" defaultRowHeight="14"/>
  <cols>
    <col min="1" max="1" width="20" customWidth="1"/>
    <col min="2" max="2" width="24" customWidth="1"/>
    <col min="3" max="3" width="23" customWidth="1"/>
    <col min="4" max="4" width="12" customWidth="1"/>
    <col min="5" max="5" width="66" customWidth="1"/>
    <col min="6" max="6" width="10" customWidth="1"/>
    <col min="7" max="7" width="15" customWidth="1"/>
    <col min="8" max="8" width="16" customWidth="1"/>
    <col min="9" max="11" width="18" customWidth="1"/>
    <col min="12" max="12" width="64" customWidth="1"/>
    <col min="13" max="13" width="10" customWidth="1"/>
    <col min="14" max="14" width="16" customWidth="1"/>
    <col min="15" max="15" width="25" customWidth="1"/>
    <col min="16" max="16" width="65" customWidth="1"/>
  </cols>
  <sheetData>
    <row r="2" spans="1:16" ht="19.200000762939453" customHeight="1">
      <c r="A2" s="1" t="s">
        <v>40</v>
      </c>
    </row>
    <row r="3" spans="1:16" ht="14" customHeight="1">
      <c r="A3" s="13" t="s">
        <v>41</v>
      </c>
    </row>
    <row r="5" spans="1:16" ht="14" customHeight="1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54</v>
      </c>
      <c r="N5" s="2" t="s">
        <v>55</v>
      </c>
      <c r="O5" s="2" t="s">
        <v>56</v>
      </c>
      <c r="P5" s="2" t="s">
        <v>57</v>
      </c>
    </row>
    <row r="6" spans="1:16" ht="14" customHeight="1">
      <c r="A6" s="5" t="s">
        <v>58</v>
      </c>
      <c r="B6" s="5" t="s">
        <v>7</v>
      </c>
      <c r="C6" s="5"/>
      <c r="D6" s="5" t="s">
        <v>59</v>
      </c>
      <c r="E6" s="5" t="s">
        <v>60</v>
      </c>
      <c r="F6" s="5" t="s">
        <v>61</v>
      </c>
      <c r="G6" s="9">
        <v>1</v>
      </c>
      <c r="H6" s="9">
        <v>537880</v>
      </c>
      <c r="I6" s="10">
        <v>537880</v>
      </c>
      <c r="J6" s="7">
        <f t="shared" ref="J6:J69" si="0">IF(OR(G6="",H6=""),"",ROUND(G6*H6,0))</f>
        <v>537880</v>
      </c>
      <c r="K6" s="7">
        <f t="shared" ref="K6:K69" si="1">IF(OR(I6="",J6=""),"",I6-J6)</f>
        <v>0</v>
      </c>
      <c r="L6" s="5"/>
      <c r="M6" s="5">
        <v>4</v>
      </c>
      <c r="N6" s="5" t="s">
        <v>62</v>
      </c>
      <c r="O6" s="5" t="s">
        <v>7</v>
      </c>
      <c r="P6" s="5"/>
    </row>
    <row r="7" spans="1:16" ht="14" customHeight="1">
      <c r="A7" s="6" t="s">
        <v>63</v>
      </c>
      <c r="B7" s="6" t="s">
        <v>7</v>
      </c>
      <c r="C7" s="6"/>
      <c r="D7" s="6" t="s">
        <v>64</v>
      </c>
      <c r="E7" s="6" t="s">
        <v>65</v>
      </c>
      <c r="F7" s="6" t="s">
        <v>61</v>
      </c>
      <c r="G7" s="11">
        <v>1</v>
      </c>
      <c r="H7" s="11">
        <v>733748</v>
      </c>
      <c r="I7" s="12">
        <v>733748</v>
      </c>
      <c r="J7" s="8">
        <f t="shared" si="0"/>
        <v>733748</v>
      </c>
      <c r="K7" s="8">
        <f t="shared" si="1"/>
        <v>0</v>
      </c>
      <c r="L7" s="6"/>
      <c r="M7" s="6">
        <v>4</v>
      </c>
      <c r="N7" s="6" t="s">
        <v>62</v>
      </c>
      <c r="O7" s="6" t="s">
        <v>7</v>
      </c>
      <c r="P7" s="6"/>
    </row>
    <row r="8" spans="1:16" ht="14" customHeight="1">
      <c r="A8" s="5" t="s">
        <v>66</v>
      </c>
      <c r="B8" s="5" t="s">
        <v>7</v>
      </c>
      <c r="C8" s="5"/>
      <c r="D8" s="5" t="s">
        <v>67</v>
      </c>
      <c r="E8" s="5" t="s">
        <v>68</v>
      </c>
      <c r="F8" s="5" t="s">
        <v>61</v>
      </c>
      <c r="G8" s="9">
        <v>1</v>
      </c>
      <c r="H8" s="9">
        <v>717000</v>
      </c>
      <c r="I8" s="10">
        <v>717000</v>
      </c>
      <c r="J8" s="7">
        <f t="shared" si="0"/>
        <v>717000</v>
      </c>
      <c r="K8" s="7">
        <f t="shared" si="1"/>
        <v>0</v>
      </c>
      <c r="L8" s="5"/>
      <c r="M8" s="5">
        <v>4</v>
      </c>
      <c r="N8" s="5" t="s">
        <v>62</v>
      </c>
      <c r="O8" s="5" t="s">
        <v>7</v>
      </c>
      <c r="P8" s="5"/>
    </row>
    <row r="9" spans="1:16" ht="14" customHeight="1">
      <c r="A9" s="6" t="s">
        <v>69</v>
      </c>
      <c r="B9" s="6" t="s">
        <v>7</v>
      </c>
      <c r="C9" s="6"/>
      <c r="D9" s="6" t="s">
        <v>70</v>
      </c>
      <c r="E9" s="6" t="s">
        <v>71</v>
      </c>
      <c r="F9" s="6" t="s">
        <v>61</v>
      </c>
      <c r="G9" s="11">
        <v>1</v>
      </c>
      <c r="H9" s="11">
        <v>360000</v>
      </c>
      <c r="I9" s="12">
        <v>360000</v>
      </c>
      <c r="J9" s="8">
        <f t="shared" si="0"/>
        <v>360000</v>
      </c>
      <c r="K9" s="8">
        <f t="shared" si="1"/>
        <v>0</v>
      </c>
      <c r="L9" s="6"/>
      <c r="M9" s="6">
        <v>4</v>
      </c>
      <c r="N9" s="6" t="s">
        <v>62</v>
      </c>
      <c r="O9" s="6" t="s">
        <v>7</v>
      </c>
      <c r="P9" s="6"/>
    </row>
    <row r="10" spans="1:16" ht="14" customHeight="1">
      <c r="A10" s="5" t="s">
        <v>72</v>
      </c>
      <c r="B10" s="5" t="s">
        <v>7</v>
      </c>
      <c r="C10" s="5"/>
      <c r="D10" s="5" t="s">
        <v>73</v>
      </c>
      <c r="E10" s="5" t="s">
        <v>74</v>
      </c>
      <c r="F10" s="5" t="s">
        <v>61</v>
      </c>
      <c r="G10" s="9">
        <v>1</v>
      </c>
      <c r="H10" s="9">
        <v>980100</v>
      </c>
      <c r="I10" s="10">
        <v>980100</v>
      </c>
      <c r="J10" s="7">
        <f t="shared" si="0"/>
        <v>980100</v>
      </c>
      <c r="K10" s="7">
        <f t="shared" si="1"/>
        <v>0</v>
      </c>
      <c r="L10" s="5"/>
      <c r="M10" s="5">
        <v>4</v>
      </c>
      <c r="N10" s="5" t="s">
        <v>62</v>
      </c>
      <c r="O10" s="5" t="s">
        <v>7</v>
      </c>
      <c r="P10" s="5"/>
    </row>
    <row r="11" spans="1:16" ht="14" customHeight="1">
      <c r="A11" s="6" t="s">
        <v>75</v>
      </c>
      <c r="B11" s="6" t="s">
        <v>7</v>
      </c>
      <c r="C11" s="6"/>
      <c r="D11" s="6" t="s">
        <v>76</v>
      </c>
      <c r="E11" s="6" t="s">
        <v>77</v>
      </c>
      <c r="F11" s="6" t="s">
        <v>61</v>
      </c>
      <c r="G11" s="11">
        <v>1</v>
      </c>
      <c r="H11" s="11">
        <v>140000</v>
      </c>
      <c r="I11" s="12">
        <v>140000</v>
      </c>
      <c r="J11" s="8">
        <f t="shared" si="0"/>
        <v>140000</v>
      </c>
      <c r="K11" s="8">
        <f t="shared" si="1"/>
        <v>0</v>
      </c>
      <c r="L11" s="6"/>
      <c r="M11" s="6">
        <v>4</v>
      </c>
      <c r="N11" s="6" t="s">
        <v>62</v>
      </c>
      <c r="O11" s="6" t="s">
        <v>7</v>
      </c>
      <c r="P11" s="6"/>
    </row>
    <row r="12" spans="1:16" ht="14" customHeight="1">
      <c r="A12" s="5" t="s">
        <v>78</v>
      </c>
      <c r="B12" s="5" t="s">
        <v>7</v>
      </c>
      <c r="C12" s="5"/>
      <c r="D12" s="5" t="s">
        <v>79</v>
      </c>
      <c r="E12" s="5" t="s">
        <v>80</v>
      </c>
      <c r="F12" s="5" t="s">
        <v>61</v>
      </c>
      <c r="G12" s="9">
        <v>1</v>
      </c>
      <c r="H12" s="9">
        <v>136200</v>
      </c>
      <c r="I12" s="10">
        <v>136200</v>
      </c>
      <c r="J12" s="7">
        <f t="shared" si="0"/>
        <v>136200</v>
      </c>
      <c r="K12" s="7">
        <f t="shared" si="1"/>
        <v>0</v>
      </c>
      <c r="L12" s="5"/>
      <c r="M12" s="5">
        <v>4</v>
      </c>
      <c r="N12" s="5" t="s">
        <v>62</v>
      </c>
      <c r="O12" s="5" t="s">
        <v>7</v>
      </c>
      <c r="P12" s="5"/>
    </row>
    <row r="13" spans="1:16" ht="14" customHeight="1">
      <c r="A13" s="6" t="s">
        <v>81</v>
      </c>
      <c r="B13" s="6" t="s">
        <v>8</v>
      </c>
      <c r="C13" s="6"/>
      <c r="D13" s="6" t="s">
        <v>82</v>
      </c>
      <c r="E13" s="6" t="s">
        <v>83</v>
      </c>
      <c r="F13" s="6" t="s">
        <v>61</v>
      </c>
      <c r="G13" s="11">
        <v>1</v>
      </c>
      <c r="H13" s="11">
        <v>426000</v>
      </c>
      <c r="I13" s="12">
        <v>426000</v>
      </c>
      <c r="J13" s="8">
        <f t="shared" si="0"/>
        <v>426000</v>
      </c>
      <c r="K13" s="8">
        <f t="shared" si="1"/>
        <v>0</v>
      </c>
      <c r="L13" s="6"/>
      <c r="M13" s="6">
        <v>5</v>
      </c>
      <c r="N13" s="6" t="s">
        <v>62</v>
      </c>
      <c r="O13" s="6" t="s">
        <v>84</v>
      </c>
      <c r="P13" s="6"/>
    </row>
    <row r="14" spans="1:16" ht="14" customHeight="1">
      <c r="A14" s="5" t="s">
        <v>85</v>
      </c>
      <c r="B14" s="5" t="s">
        <v>8</v>
      </c>
      <c r="C14" s="5"/>
      <c r="D14" s="5" t="s">
        <v>86</v>
      </c>
      <c r="E14" s="5" t="s">
        <v>87</v>
      </c>
      <c r="F14" s="5" t="s">
        <v>88</v>
      </c>
      <c r="G14" s="9">
        <v>1421.46</v>
      </c>
      <c r="H14" s="9">
        <v>450</v>
      </c>
      <c r="I14" s="10">
        <v>639657</v>
      </c>
      <c r="J14" s="7">
        <f t="shared" si="0"/>
        <v>639657</v>
      </c>
      <c r="K14" s="7">
        <f t="shared" si="1"/>
        <v>0</v>
      </c>
      <c r="L14" s="5" t="s">
        <v>89</v>
      </c>
      <c r="M14" s="5">
        <v>5</v>
      </c>
      <c r="N14" s="5" t="s">
        <v>62</v>
      </c>
      <c r="O14" s="5" t="s">
        <v>84</v>
      </c>
      <c r="P14" s="5"/>
    </row>
    <row r="15" spans="1:16" ht="14" customHeight="1">
      <c r="A15" s="6" t="s">
        <v>90</v>
      </c>
      <c r="B15" s="6" t="s">
        <v>8</v>
      </c>
      <c r="C15" s="6"/>
      <c r="D15" s="6" t="s">
        <v>91</v>
      </c>
      <c r="E15" s="6" t="s">
        <v>92</v>
      </c>
      <c r="F15" s="6" t="s">
        <v>88</v>
      </c>
      <c r="G15" s="11">
        <v>1421.46</v>
      </c>
      <c r="H15" s="11">
        <v>360</v>
      </c>
      <c r="I15" s="12">
        <v>511726</v>
      </c>
      <c r="J15" s="8">
        <f t="shared" si="0"/>
        <v>511726</v>
      </c>
      <c r="K15" s="8">
        <f t="shared" si="1"/>
        <v>0</v>
      </c>
      <c r="L15" s="6" t="s">
        <v>93</v>
      </c>
      <c r="M15" s="6">
        <v>5</v>
      </c>
      <c r="N15" s="6" t="s">
        <v>62</v>
      </c>
      <c r="O15" s="6" t="s">
        <v>84</v>
      </c>
      <c r="P15" s="6"/>
    </row>
    <row r="16" spans="1:16" ht="14" customHeight="1">
      <c r="A16" s="5" t="s">
        <v>94</v>
      </c>
      <c r="B16" s="5" t="s">
        <v>8</v>
      </c>
      <c r="C16" s="5"/>
      <c r="D16" s="5" t="s">
        <v>95</v>
      </c>
      <c r="E16" s="5" t="s">
        <v>96</v>
      </c>
      <c r="F16" s="5" t="s">
        <v>61</v>
      </c>
      <c r="G16" s="9">
        <v>1</v>
      </c>
      <c r="H16" s="9">
        <v>60000</v>
      </c>
      <c r="I16" s="10">
        <v>60000</v>
      </c>
      <c r="J16" s="7">
        <f t="shared" si="0"/>
        <v>60000</v>
      </c>
      <c r="K16" s="7">
        <f t="shared" si="1"/>
        <v>0</v>
      </c>
      <c r="L16" s="5"/>
      <c r="M16" s="5">
        <v>5</v>
      </c>
      <c r="N16" s="5" t="s">
        <v>62</v>
      </c>
      <c r="O16" s="5" t="s">
        <v>84</v>
      </c>
      <c r="P16" s="5"/>
    </row>
    <row r="17" spans="1:16" ht="14" customHeight="1">
      <c r="A17" s="6" t="s">
        <v>97</v>
      </c>
      <c r="B17" s="6" t="s">
        <v>9</v>
      </c>
      <c r="C17" s="6"/>
      <c r="D17" s="6" t="s">
        <v>98</v>
      </c>
      <c r="E17" s="6" t="s">
        <v>99</v>
      </c>
      <c r="F17" s="6" t="s">
        <v>100</v>
      </c>
      <c r="G17" s="11">
        <v>366.55</v>
      </c>
      <c r="H17" s="11">
        <v>31700</v>
      </c>
      <c r="I17" s="12">
        <v>11619635</v>
      </c>
      <c r="J17" s="8">
        <f t="shared" si="0"/>
        <v>11619635</v>
      </c>
      <c r="K17" s="8">
        <f t="shared" si="1"/>
        <v>0</v>
      </c>
      <c r="L17" s="6"/>
      <c r="M17" s="6">
        <v>6</v>
      </c>
      <c r="N17" s="6" t="s">
        <v>62</v>
      </c>
      <c r="O17" s="6" t="s">
        <v>9</v>
      </c>
      <c r="P17" s="6"/>
    </row>
    <row r="18" spans="1:16" ht="14" customHeight="1">
      <c r="A18" s="5" t="s">
        <v>101</v>
      </c>
      <c r="B18" s="5" t="s">
        <v>9</v>
      </c>
      <c r="C18" s="5"/>
      <c r="D18" s="5" t="s">
        <v>102</v>
      </c>
      <c r="E18" s="5" t="s">
        <v>103</v>
      </c>
      <c r="F18" s="5" t="s">
        <v>100</v>
      </c>
      <c r="G18" s="9">
        <v>76.209999999999994</v>
      </c>
      <c r="H18" s="9">
        <v>38200</v>
      </c>
      <c r="I18" s="10">
        <v>2911222</v>
      </c>
      <c r="J18" s="7">
        <f t="shared" si="0"/>
        <v>2911222</v>
      </c>
      <c r="K18" s="7">
        <f t="shared" si="1"/>
        <v>0</v>
      </c>
      <c r="L18" s="5"/>
      <c r="M18" s="5">
        <v>6</v>
      </c>
      <c r="N18" s="5" t="s">
        <v>62</v>
      </c>
      <c r="O18" s="5" t="s">
        <v>9</v>
      </c>
      <c r="P18" s="5"/>
    </row>
    <row r="19" spans="1:16" ht="14" customHeight="1">
      <c r="A19" s="6" t="s">
        <v>104</v>
      </c>
      <c r="B19" s="6" t="s">
        <v>9</v>
      </c>
      <c r="C19" s="6"/>
      <c r="D19" s="6" t="s">
        <v>105</v>
      </c>
      <c r="E19" s="6" t="s">
        <v>106</v>
      </c>
      <c r="F19" s="6" t="s">
        <v>100</v>
      </c>
      <c r="G19" s="11">
        <v>442.76</v>
      </c>
      <c r="H19" s="11">
        <v>6800</v>
      </c>
      <c r="I19" s="12">
        <v>3010768</v>
      </c>
      <c r="J19" s="8">
        <f t="shared" si="0"/>
        <v>3010768</v>
      </c>
      <c r="K19" s="8">
        <f t="shared" si="1"/>
        <v>0</v>
      </c>
      <c r="L19" s="6"/>
      <c r="M19" s="6">
        <v>6</v>
      </c>
      <c r="N19" s="6" t="s">
        <v>62</v>
      </c>
      <c r="O19" s="6" t="s">
        <v>9</v>
      </c>
      <c r="P19" s="6"/>
    </row>
    <row r="20" spans="1:16" ht="14" customHeight="1">
      <c r="A20" s="5" t="s">
        <v>107</v>
      </c>
      <c r="B20" s="5" t="s">
        <v>9</v>
      </c>
      <c r="C20" s="5"/>
      <c r="D20" s="5" t="s">
        <v>108</v>
      </c>
      <c r="E20" s="5" t="s">
        <v>109</v>
      </c>
      <c r="F20" s="5" t="s">
        <v>100</v>
      </c>
      <c r="G20" s="9">
        <v>442.76</v>
      </c>
      <c r="H20" s="9">
        <v>2900</v>
      </c>
      <c r="I20" s="10">
        <v>1284004</v>
      </c>
      <c r="J20" s="7">
        <f t="shared" si="0"/>
        <v>1284004</v>
      </c>
      <c r="K20" s="7">
        <f t="shared" si="1"/>
        <v>0</v>
      </c>
      <c r="L20" s="5"/>
      <c r="M20" s="5">
        <v>6</v>
      </c>
      <c r="N20" s="5" t="s">
        <v>62</v>
      </c>
      <c r="O20" s="5" t="s">
        <v>9</v>
      </c>
      <c r="P20" s="5"/>
    </row>
    <row r="21" spans="1:16" ht="14" customHeight="1">
      <c r="A21" s="6" t="s">
        <v>110</v>
      </c>
      <c r="B21" s="6" t="s">
        <v>9</v>
      </c>
      <c r="C21" s="6"/>
      <c r="D21" s="6" t="s">
        <v>111</v>
      </c>
      <c r="E21" s="6" t="s">
        <v>112</v>
      </c>
      <c r="F21" s="6" t="s">
        <v>100</v>
      </c>
      <c r="G21" s="11">
        <v>442.76</v>
      </c>
      <c r="H21" s="11">
        <v>1700</v>
      </c>
      <c r="I21" s="12">
        <v>752692</v>
      </c>
      <c r="J21" s="8">
        <f t="shared" si="0"/>
        <v>752692</v>
      </c>
      <c r="K21" s="8">
        <f t="shared" si="1"/>
        <v>0</v>
      </c>
      <c r="L21" s="6"/>
      <c r="M21" s="6">
        <v>6</v>
      </c>
      <c r="N21" s="6" t="s">
        <v>62</v>
      </c>
      <c r="O21" s="6" t="s">
        <v>9</v>
      </c>
      <c r="P21" s="6"/>
    </row>
    <row r="22" spans="1:16" ht="14" customHeight="1">
      <c r="A22" s="5" t="s">
        <v>113</v>
      </c>
      <c r="B22" s="5" t="s">
        <v>9</v>
      </c>
      <c r="C22" s="5"/>
      <c r="D22" s="5" t="s">
        <v>114</v>
      </c>
      <c r="E22" s="5" t="s">
        <v>115</v>
      </c>
      <c r="F22" s="5" t="s">
        <v>100</v>
      </c>
      <c r="G22" s="9">
        <v>442.76</v>
      </c>
      <c r="H22" s="9">
        <v>1500</v>
      </c>
      <c r="I22" s="10">
        <v>664140</v>
      </c>
      <c r="J22" s="7">
        <f t="shared" si="0"/>
        <v>664140</v>
      </c>
      <c r="K22" s="7">
        <f t="shared" si="1"/>
        <v>0</v>
      </c>
      <c r="L22" s="5"/>
      <c r="M22" s="5">
        <v>6</v>
      </c>
      <c r="N22" s="5" t="s">
        <v>62</v>
      </c>
      <c r="O22" s="5" t="s">
        <v>9</v>
      </c>
      <c r="P22" s="5"/>
    </row>
    <row r="23" spans="1:16" ht="14" customHeight="1">
      <c r="A23" s="6" t="s">
        <v>116</v>
      </c>
      <c r="B23" s="6" t="s">
        <v>9</v>
      </c>
      <c r="C23" s="6"/>
      <c r="D23" s="6" t="s">
        <v>117</v>
      </c>
      <c r="E23" s="6" t="s">
        <v>118</v>
      </c>
      <c r="F23" s="6" t="s">
        <v>100</v>
      </c>
      <c r="G23" s="11">
        <v>442.76</v>
      </c>
      <c r="H23" s="11">
        <v>6000</v>
      </c>
      <c r="I23" s="12">
        <v>2656560</v>
      </c>
      <c r="J23" s="8">
        <f t="shared" si="0"/>
        <v>2656560</v>
      </c>
      <c r="K23" s="8">
        <f t="shared" si="1"/>
        <v>0</v>
      </c>
      <c r="L23" s="6"/>
      <c r="M23" s="6">
        <v>6</v>
      </c>
      <c r="N23" s="6" t="s">
        <v>62</v>
      </c>
      <c r="O23" s="6" t="s">
        <v>9</v>
      </c>
      <c r="P23" s="6"/>
    </row>
    <row r="24" spans="1:16" ht="14" customHeight="1">
      <c r="A24" s="5" t="s">
        <v>119</v>
      </c>
      <c r="B24" s="5" t="s">
        <v>9</v>
      </c>
      <c r="C24" s="5"/>
      <c r="D24" s="5" t="s">
        <v>120</v>
      </c>
      <c r="E24" s="5" t="s">
        <v>121</v>
      </c>
      <c r="F24" s="5" t="s">
        <v>122</v>
      </c>
      <c r="G24" s="9">
        <v>4664</v>
      </c>
      <c r="H24" s="9">
        <v>88</v>
      </c>
      <c r="I24" s="10">
        <v>410432</v>
      </c>
      <c r="J24" s="7">
        <f t="shared" si="0"/>
        <v>410432</v>
      </c>
      <c r="K24" s="7">
        <f t="shared" si="1"/>
        <v>0</v>
      </c>
      <c r="L24" s="5"/>
      <c r="M24" s="5">
        <v>6</v>
      </c>
      <c r="N24" s="5" t="s">
        <v>62</v>
      </c>
      <c r="O24" s="5" t="s">
        <v>9</v>
      </c>
      <c r="P24" s="5"/>
    </row>
    <row r="25" spans="1:16" ht="14" customHeight="1">
      <c r="A25" s="6" t="s">
        <v>123</v>
      </c>
      <c r="B25" s="6" t="s">
        <v>9</v>
      </c>
      <c r="C25" s="6"/>
      <c r="D25" s="6" t="s">
        <v>124</v>
      </c>
      <c r="E25" s="6" t="s">
        <v>125</v>
      </c>
      <c r="F25" s="6" t="s">
        <v>126</v>
      </c>
      <c r="G25" s="11">
        <v>3867.65</v>
      </c>
      <c r="H25" s="11">
        <v>630</v>
      </c>
      <c r="I25" s="12">
        <v>2436620</v>
      </c>
      <c r="J25" s="8">
        <f t="shared" si="0"/>
        <v>2436620</v>
      </c>
      <c r="K25" s="8">
        <f t="shared" si="1"/>
        <v>0</v>
      </c>
      <c r="L25" s="6"/>
      <c r="M25" s="6">
        <v>6</v>
      </c>
      <c r="N25" s="6" t="s">
        <v>62</v>
      </c>
      <c r="O25" s="6" t="s">
        <v>9</v>
      </c>
      <c r="P25" s="6"/>
    </row>
    <row r="26" spans="1:16" ht="14" customHeight="1">
      <c r="A26" s="5" t="s">
        <v>127</v>
      </c>
      <c r="B26" s="5" t="s">
        <v>9</v>
      </c>
      <c r="C26" s="5"/>
      <c r="D26" s="5" t="s">
        <v>128</v>
      </c>
      <c r="E26" s="5" t="s">
        <v>129</v>
      </c>
      <c r="F26" s="5" t="s">
        <v>130</v>
      </c>
      <c r="G26" s="9">
        <v>14673</v>
      </c>
      <c r="H26" s="9">
        <v>32</v>
      </c>
      <c r="I26" s="10">
        <v>469536</v>
      </c>
      <c r="J26" s="7">
        <f t="shared" si="0"/>
        <v>469536</v>
      </c>
      <c r="K26" s="7">
        <f t="shared" si="1"/>
        <v>0</v>
      </c>
      <c r="L26" s="5"/>
      <c r="M26" s="5">
        <v>6</v>
      </c>
      <c r="N26" s="5" t="s">
        <v>62</v>
      </c>
      <c r="O26" s="5" t="s">
        <v>9</v>
      </c>
      <c r="P26" s="5"/>
    </row>
    <row r="27" spans="1:16" ht="14" customHeight="1">
      <c r="A27" s="6" t="s">
        <v>131</v>
      </c>
      <c r="B27" s="6" t="s">
        <v>9</v>
      </c>
      <c r="C27" s="6"/>
      <c r="D27" s="6" t="s">
        <v>132</v>
      </c>
      <c r="E27" s="6" t="s">
        <v>133</v>
      </c>
      <c r="F27" s="6" t="s">
        <v>130</v>
      </c>
      <c r="G27" s="11">
        <v>9344</v>
      </c>
      <c r="H27" s="11">
        <v>30</v>
      </c>
      <c r="I27" s="12">
        <v>280320</v>
      </c>
      <c r="J27" s="8">
        <f t="shared" si="0"/>
        <v>280320</v>
      </c>
      <c r="K27" s="8">
        <f t="shared" si="1"/>
        <v>0</v>
      </c>
      <c r="L27" s="6"/>
      <c r="M27" s="6">
        <v>6</v>
      </c>
      <c r="N27" s="6" t="s">
        <v>62</v>
      </c>
      <c r="O27" s="6" t="s">
        <v>9</v>
      </c>
      <c r="P27" s="6"/>
    </row>
    <row r="28" spans="1:16" ht="14" customHeight="1">
      <c r="A28" s="5" t="s">
        <v>134</v>
      </c>
      <c r="B28" s="5" t="s">
        <v>9</v>
      </c>
      <c r="C28" s="5"/>
      <c r="D28" s="5" t="s">
        <v>135</v>
      </c>
      <c r="E28" s="5" t="s">
        <v>136</v>
      </c>
      <c r="F28" s="5" t="s">
        <v>137</v>
      </c>
      <c r="G28" s="9">
        <v>1</v>
      </c>
      <c r="H28" s="9">
        <v>428000</v>
      </c>
      <c r="I28" s="10">
        <v>428000</v>
      </c>
      <c r="J28" s="7">
        <f t="shared" si="0"/>
        <v>428000</v>
      </c>
      <c r="K28" s="7">
        <f t="shared" si="1"/>
        <v>0</v>
      </c>
      <c r="L28" s="5"/>
      <c r="M28" s="5">
        <v>6</v>
      </c>
      <c r="N28" s="5" t="s">
        <v>62</v>
      </c>
      <c r="O28" s="5" t="s">
        <v>9</v>
      </c>
      <c r="P28" s="5"/>
    </row>
    <row r="29" spans="1:16" ht="14" customHeight="1">
      <c r="A29" s="6" t="s">
        <v>138</v>
      </c>
      <c r="B29" s="6" t="s">
        <v>9</v>
      </c>
      <c r="C29" s="6"/>
      <c r="D29" s="6" t="s">
        <v>139</v>
      </c>
      <c r="E29" s="6" t="s">
        <v>140</v>
      </c>
      <c r="F29" s="6" t="s">
        <v>137</v>
      </c>
      <c r="G29" s="11">
        <v>1</v>
      </c>
      <c r="H29" s="11">
        <v>608000</v>
      </c>
      <c r="I29" s="12">
        <v>608000</v>
      </c>
      <c r="J29" s="8">
        <f t="shared" si="0"/>
        <v>608000</v>
      </c>
      <c r="K29" s="8">
        <f t="shared" si="1"/>
        <v>0</v>
      </c>
      <c r="L29" s="6"/>
      <c r="M29" s="6">
        <v>6</v>
      </c>
      <c r="N29" s="6" t="s">
        <v>62</v>
      </c>
      <c r="O29" s="6" t="s">
        <v>9</v>
      </c>
      <c r="P29" s="6"/>
    </row>
    <row r="30" spans="1:16" ht="14" customHeight="1">
      <c r="A30" s="5" t="s">
        <v>141</v>
      </c>
      <c r="B30" s="5" t="s">
        <v>9</v>
      </c>
      <c r="C30" s="5"/>
      <c r="D30" s="5" t="s">
        <v>142</v>
      </c>
      <c r="E30" s="5" t="s">
        <v>143</v>
      </c>
      <c r="F30" s="5" t="s">
        <v>144</v>
      </c>
      <c r="G30" s="9">
        <v>400</v>
      </c>
      <c r="H30" s="9">
        <v>1060</v>
      </c>
      <c r="I30" s="10">
        <v>424000</v>
      </c>
      <c r="J30" s="7">
        <f t="shared" si="0"/>
        <v>424000</v>
      </c>
      <c r="K30" s="7">
        <f t="shared" si="1"/>
        <v>0</v>
      </c>
      <c r="L30" s="5"/>
      <c r="M30" s="5">
        <v>6</v>
      </c>
      <c r="N30" s="5" t="s">
        <v>62</v>
      </c>
      <c r="O30" s="5" t="s">
        <v>9</v>
      </c>
      <c r="P30" s="5"/>
    </row>
    <row r="31" spans="1:16" ht="14" customHeight="1">
      <c r="A31" s="6" t="s">
        <v>145</v>
      </c>
      <c r="B31" s="6" t="s">
        <v>9</v>
      </c>
      <c r="C31" s="6"/>
      <c r="D31" s="6" t="s">
        <v>146</v>
      </c>
      <c r="E31" s="6" t="s">
        <v>147</v>
      </c>
      <c r="F31" s="6" t="s">
        <v>148</v>
      </c>
      <c r="G31" s="11">
        <v>34</v>
      </c>
      <c r="H31" s="11">
        <v>4500</v>
      </c>
      <c r="I31" s="12">
        <v>153000</v>
      </c>
      <c r="J31" s="8">
        <f t="shared" si="0"/>
        <v>153000</v>
      </c>
      <c r="K31" s="8">
        <f t="shared" si="1"/>
        <v>0</v>
      </c>
      <c r="L31" s="6"/>
      <c r="M31" s="6">
        <v>6</v>
      </c>
      <c r="N31" s="6" t="s">
        <v>62</v>
      </c>
      <c r="O31" s="6" t="s">
        <v>9</v>
      </c>
      <c r="P31" s="6"/>
    </row>
    <row r="32" spans="1:16" ht="14" customHeight="1">
      <c r="A32" s="5" t="s">
        <v>149</v>
      </c>
      <c r="B32" s="5" t="s">
        <v>9</v>
      </c>
      <c r="C32" s="5"/>
      <c r="D32" s="5" t="s">
        <v>150</v>
      </c>
      <c r="E32" s="5" t="s">
        <v>151</v>
      </c>
      <c r="F32" s="5" t="s">
        <v>122</v>
      </c>
      <c r="G32" s="9">
        <v>4982</v>
      </c>
      <c r="H32" s="9">
        <v>88</v>
      </c>
      <c r="I32" s="10">
        <v>438416</v>
      </c>
      <c r="J32" s="7">
        <f t="shared" si="0"/>
        <v>438416</v>
      </c>
      <c r="K32" s="7">
        <f t="shared" si="1"/>
        <v>0</v>
      </c>
      <c r="L32" s="5" t="s">
        <v>152</v>
      </c>
      <c r="M32" s="5">
        <v>6</v>
      </c>
      <c r="N32" s="5" t="s">
        <v>62</v>
      </c>
      <c r="O32" s="5" t="s">
        <v>9</v>
      </c>
      <c r="P32" s="5"/>
    </row>
    <row r="33" spans="1:16" ht="14" customHeight="1">
      <c r="A33" s="6" t="s">
        <v>153</v>
      </c>
      <c r="B33" s="6" t="s">
        <v>9</v>
      </c>
      <c r="C33" s="6"/>
      <c r="D33" s="6" t="s">
        <v>154</v>
      </c>
      <c r="E33" s="6" t="s">
        <v>155</v>
      </c>
      <c r="F33" s="6" t="s">
        <v>126</v>
      </c>
      <c r="G33" s="11">
        <v>144.19999999999999</v>
      </c>
      <c r="H33" s="11">
        <v>830</v>
      </c>
      <c r="I33" s="12">
        <v>119686</v>
      </c>
      <c r="J33" s="8">
        <f t="shared" si="0"/>
        <v>119686</v>
      </c>
      <c r="K33" s="8">
        <f t="shared" si="1"/>
        <v>0</v>
      </c>
      <c r="L33" s="6"/>
      <c r="M33" s="6">
        <v>6</v>
      </c>
      <c r="N33" s="6" t="s">
        <v>62</v>
      </c>
      <c r="O33" s="6" t="s">
        <v>9</v>
      </c>
      <c r="P33" s="6"/>
    </row>
    <row r="34" spans="1:16" ht="14" customHeight="1">
      <c r="A34" s="5" t="s">
        <v>156</v>
      </c>
      <c r="B34" s="5" t="s">
        <v>9</v>
      </c>
      <c r="C34" s="5"/>
      <c r="D34" s="5" t="s">
        <v>157</v>
      </c>
      <c r="E34" s="5" t="s">
        <v>158</v>
      </c>
      <c r="F34" s="5" t="s">
        <v>100</v>
      </c>
      <c r="G34" s="9">
        <v>442.76</v>
      </c>
      <c r="H34" s="9">
        <v>650</v>
      </c>
      <c r="I34" s="10">
        <v>287794</v>
      </c>
      <c r="J34" s="7">
        <f t="shared" si="0"/>
        <v>287794</v>
      </c>
      <c r="K34" s="7">
        <f t="shared" si="1"/>
        <v>0</v>
      </c>
      <c r="L34" s="5"/>
      <c r="M34" s="5">
        <v>6</v>
      </c>
      <c r="N34" s="5" t="s">
        <v>62</v>
      </c>
      <c r="O34" s="5" t="s">
        <v>9</v>
      </c>
      <c r="P34" s="5"/>
    </row>
    <row r="35" spans="1:16" ht="14" customHeight="1">
      <c r="A35" s="6" t="s">
        <v>159</v>
      </c>
      <c r="B35" s="6" t="s">
        <v>9</v>
      </c>
      <c r="C35" s="6"/>
      <c r="D35" s="6" t="s">
        <v>160</v>
      </c>
      <c r="E35" s="6" t="s">
        <v>161</v>
      </c>
      <c r="F35" s="6" t="s">
        <v>100</v>
      </c>
      <c r="G35" s="11">
        <v>442.76</v>
      </c>
      <c r="H35" s="11">
        <v>1200</v>
      </c>
      <c r="I35" s="12">
        <v>531312</v>
      </c>
      <c r="J35" s="8">
        <f t="shared" si="0"/>
        <v>531312</v>
      </c>
      <c r="K35" s="8">
        <f t="shared" si="1"/>
        <v>0</v>
      </c>
      <c r="L35" s="6"/>
      <c r="M35" s="6">
        <v>6</v>
      </c>
      <c r="N35" s="6" t="s">
        <v>62</v>
      </c>
      <c r="O35" s="6" t="s">
        <v>9</v>
      </c>
      <c r="P35" s="6"/>
    </row>
    <row r="36" spans="1:16" ht="14" customHeight="1">
      <c r="A36" s="5" t="s">
        <v>162</v>
      </c>
      <c r="B36" s="5" t="s">
        <v>9</v>
      </c>
      <c r="C36" s="5"/>
      <c r="D36" s="5" t="s">
        <v>163</v>
      </c>
      <c r="E36" s="5" t="s">
        <v>164</v>
      </c>
      <c r="F36" s="5" t="s">
        <v>130</v>
      </c>
      <c r="G36" s="9">
        <v>4646</v>
      </c>
      <c r="H36" s="9">
        <v>30</v>
      </c>
      <c r="I36" s="10">
        <v>139380</v>
      </c>
      <c r="J36" s="7">
        <f t="shared" si="0"/>
        <v>139380</v>
      </c>
      <c r="K36" s="7">
        <f t="shared" si="1"/>
        <v>0</v>
      </c>
      <c r="L36" s="5"/>
      <c r="M36" s="5">
        <v>6</v>
      </c>
      <c r="N36" s="5" t="s">
        <v>62</v>
      </c>
      <c r="O36" s="5" t="s">
        <v>9</v>
      </c>
      <c r="P36" s="5"/>
    </row>
    <row r="37" spans="1:16" ht="14" customHeight="1">
      <c r="A37" s="6" t="s">
        <v>165</v>
      </c>
      <c r="B37" s="6" t="s">
        <v>9</v>
      </c>
      <c r="C37" s="6"/>
      <c r="D37" s="6" t="s">
        <v>166</v>
      </c>
      <c r="E37" s="6" t="s">
        <v>167</v>
      </c>
      <c r="F37" s="6" t="s">
        <v>126</v>
      </c>
      <c r="G37" s="11">
        <v>5731.95</v>
      </c>
      <c r="H37" s="11">
        <v>265</v>
      </c>
      <c r="I37" s="12">
        <v>1518967</v>
      </c>
      <c r="J37" s="8">
        <f t="shared" si="0"/>
        <v>1518967</v>
      </c>
      <c r="K37" s="8">
        <f t="shared" si="1"/>
        <v>0</v>
      </c>
      <c r="L37" s="6" t="s">
        <v>168</v>
      </c>
      <c r="M37" s="6">
        <v>6</v>
      </c>
      <c r="N37" s="6" t="s">
        <v>62</v>
      </c>
      <c r="O37" s="6" t="s">
        <v>9</v>
      </c>
      <c r="P37" s="6"/>
    </row>
    <row r="38" spans="1:16" ht="14" customHeight="1">
      <c r="A38" s="5" t="s">
        <v>169</v>
      </c>
      <c r="B38" s="5" t="s">
        <v>9</v>
      </c>
      <c r="C38" s="5"/>
      <c r="D38" s="5" t="s">
        <v>170</v>
      </c>
      <c r="E38" s="5" t="s">
        <v>171</v>
      </c>
      <c r="F38" s="5" t="s">
        <v>137</v>
      </c>
      <c r="G38" s="9">
        <v>1</v>
      </c>
      <c r="H38" s="9">
        <v>32000</v>
      </c>
      <c r="I38" s="10">
        <v>32000</v>
      </c>
      <c r="J38" s="7">
        <f t="shared" si="0"/>
        <v>32000</v>
      </c>
      <c r="K38" s="7">
        <f t="shared" si="1"/>
        <v>0</v>
      </c>
      <c r="L38" s="5"/>
      <c r="M38" s="5">
        <v>6</v>
      </c>
      <c r="N38" s="5" t="s">
        <v>62</v>
      </c>
      <c r="O38" s="5" t="s">
        <v>9</v>
      </c>
      <c r="P38" s="5"/>
    </row>
    <row r="39" spans="1:16" ht="14" customHeight="1">
      <c r="A39" s="6" t="s">
        <v>172</v>
      </c>
      <c r="B39" s="6" t="s">
        <v>9</v>
      </c>
      <c r="C39" s="6"/>
      <c r="D39" s="6" t="s">
        <v>173</v>
      </c>
      <c r="E39" s="6" t="s">
        <v>174</v>
      </c>
      <c r="F39" s="6" t="s">
        <v>137</v>
      </c>
      <c r="G39" s="11">
        <v>1</v>
      </c>
      <c r="H39" s="11">
        <v>46000</v>
      </c>
      <c r="I39" s="12">
        <v>46000</v>
      </c>
      <c r="J39" s="8">
        <f t="shared" si="0"/>
        <v>46000</v>
      </c>
      <c r="K39" s="8">
        <f t="shared" si="1"/>
        <v>0</v>
      </c>
      <c r="L39" s="6"/>
      <c r="M39" s="6">
        <v>6</v>
      </c>
      <c r="N39" s="6" t="s">
        <v>62</v>
      </c>
      <c r="O39" s="6" t="s">
        <v>9</v>
      </c>
      <c r="P39" s="6"/>
    </row>
    <row r="40" spans="1:16" ht="14" customHeight="1">
      <c r="A40" s="5" t="s">
        <v>175</v>
      </c>
      <c r="B40" s="5" t="s">
        <v>9</v>
      </c>
      <c r="C40" s="5"/>
      <c r="D40" s="5" t="s">
        <v>176</v>
      </c>
      <c r="E40" s="5" t="s">
        <v>177</v>
      </c>
      <c r="F40" s="5" t="s">
        <v>61</v>
      </c>
      <c r="G40" s="9">
        <v>1</v>
      </c>
      <c r="H40" s="9">
        <v>80000</v>
      </c>
      <c r="I40" s="10">
        <v>80000</v>
      </c>
      <c r="J40" s="7">
        <f t="shared" si="0"/>
        <v>80000</v>
      </c>
      <c r="K40" s="7">
        <f t="shared" si="1"/>
        <v>0</v>
      </c>
      <c r="L40" s="5" t="s">
        <v>178</v>
      </c>
      <c r="M40" s="5">
        <v>6</v>
      </c>
      <c r="N40" s="5" t="s">
        <v>62</v>
      </c>
      <c r="O40" s="5" t="s">
        <v>9</v>
      </c>
      <c r="P40" s="5"/>
    </row>
    <row r="41" spans="1:16" ht="14" customHeight="1">
      <c r="A41" s="6" t="s">
        <v>179</v>
      </c>
      <c r="B41" s="6" t="s">
        <v>10</v>
      </c>
      <c r="C41" s="6"/>
      <c r="D41" s="6" t="s">
        <v>180</v>
      </c>
      <c r="E41" s="6" t="s">
        <v>181</v>
      </c>
      <c r="F41" s="6" t="s">
        <v>182</v>
      </c>
      <c r="G41" s="11">
        <v>96.04</v>
      </c>
      <c r="H41" s="11">
        <v>27900</v>
      </c>
      <c r="I41" s="12">
        <v>2679516</v>
      </c>
      <c r="J41" s="8">
        <f t="shared" si="0"/>
        <v>2679516</v>
      </c>
      <c r="K41" s="8">
        <f t="shared" si="1"/>
        <v>0</v>
      </c>
      <c r="L41" s="6" t="s">
        <v>183</v>
      </c>
      <c r="M41" s="6">
        <v>7</v>
      </c>
      <c r="N41" s="6" t="s">
        <v>62</v>
      </c>
      <c r="O41" s="6" t="s">
        <v>84</v>
      </c>
      <c r="P41" s="6"/>
    </row>
    <row r="42" spans="1:16" ht="14" customHeight="1">
      <c r="A42" s="5" t="s">
        <v>184</v>
      </c>
      <c r="B42" s="5" t="s">
        <v>10</v>
      </c>
      <c r="C42" s="5"/>
      <c r="D42" s="5" t="s">
        <v>185</v>
      </c>
      <c r="E42" s="5" t="s">
        <v>186</v>
      </c>
      <c r="F42" s="5" t="s">
        <v>182</v>
      </c>
      <c r="G42" s="9">
        <v>252.07</v>
      </c>
      <c r="H42" s="9">
        <v>28700</v>
      </c>
      <c r="I42" s="10">
        <v>7234409</v>
      </c>
      <c r="J42" s="7">
        <f t="shared" si="0"/>
        <v>7234409</v>
      </c>
      <c r="K42" s="7">
        <f t="shared" si="1"/>
        <v>0</v>
      </c>
      <c r="L42" s="5"/>
      <c r="M42" s="5">
        <v>7</v>
      </c>
      <c r="N42" s="5" t="s">
        <v>62</v>
      </c>
      <c r="O42" s="5" t="s">
        <v>84</v>
      </c>
      <c r="P42" s="5"/>
    </row>
    <row r="43" spans="1:16" ht="14" customHeight="1">
      <c r="A43" s="6" t="s">
        <v>187</v>
      </c>
      <c r="B43" s="6" t="s">
        <v>10</v>
      </c>
      <c r="C43" s="6"/>
      <c r="D43" s="6" t="s">
        <v>188</v>
      </c>
      <c r="E43" s="6" t="s">
        <v>189</v>
      </c>
      <c r="F43" s="6" t="s">
        <v>126</v>
      </c>
      <c r="G43" s="11">
        <v>70.91</v>
      </c>
      <c r="H43" s="11">
        <v>306</v>
      </c>
      <c r="I43" s="12">
        <v>21698</v>
      </c>
      <c r="J43" s="8">
        <f t="shared" si="0"/>
        <v>21698</v>
      </c>
      <c r="K43" s="8">
        <f t="shared" si="1"/>
        <v>0</v>
      </c>
      <c r="L43" s="6"/>
      <c r="M43" s="6">
        <v>7</v>
      </c>
      <c r="N43" s="6" t="s">
        <v>62</v>
      </c>
      <c r="O43" s="6" t="s">
        <v>84</v>
      </c>
      <c r="P43" s="6"/>
    </row>
    <row r="44" spans="1:16" ht="14" customHeight="1">
      <c r="A44" s="5" t="s">
        <v>190</v>
      </c>
      <c r="B44" s="5" t="s">
        <v>10</v>
      </c>
      <c r="C44" s="5"/>
      <c r="D44" s="5" t="s">
        <v>191</v>
      </c>
      <c r="E44" s="5" t="s">
        <v>192</v>
      </c>
      <c r="F44" s="5" t="s">
        <v>88</v>
      </c>
      <c r="G44" s="9">
        <v>286.35000000000002</v>
      </c>
      <c r="H44" s="9">
        <v>2940</v>
      </c>
      <c r="I44" s="10">
        <v>841869</v>
      </c>
      <c r="J44" s="7">
        <f t="shared" si="0"/>
        <v>841869</v>
      </c>
      <c r="K44" s="7">
        <f t="shared" si="1"/>
        <v>0</v>
      </c>
      <c r="L44" s="5" t="s">
        <v>193</v>
      </c>
      <c r="M44" s="5">
        <v>7</v>
      </c>
      <c r="N44" s="5" t="s">
        <v>62</v>
      </c>
      <c r="O44" s="5" t="s">
        <v>84</v>
      </c>
      <c r="P44" s="5"/>
    </row>
    <row r="45" spans="1:16" ht="14" customHeight="1">
      <c r="A45" s="6" t="s">
        <v>194</v>
      </c>
      <c r="B45" s="6" t="s">
        <v>10</v>
      </c>
      <c r="C45" s="6"/>
      <c r="D45" s="6" t="s">
        <v>195</v>
      </c>
      <c r="E45" s="6" t="s">
        <v>196</v>
      </c>
      <c r="F45" s="6" t="s">
        <v>88</v>
      </c>
      <c r="G45" s="11">
        <v>2747.47</v>
      </c>
      <c r="H45" s="11">
        <v>3240</v>
      </c>
      <c r="I45" s="12">
        <v>8901803</v>
      </c>
      <c r="J45" s="8">
        <f t="shared" si="0"/>
        <v>8901803</v>
      </c>
      <c r="K45" s="8">
        <f t="shared" si="1"/>
        <v>0</v>
      </c>
      <c r="L45" s="6" t="s">
        <v>197</v>
      </c>
      <c r="M45" s="6">
        <v>7</v>
      </c>
      <c r="N45" s="6" t="s">
        <v>62</v>
      </c>
      <c r="O45" s="6" t="s">
        <v>84</v>
      </c>
      <c r="P45" s="6"/>
    </row>
    <row r="46" spans="1:16" ht="14" customHeight="1">
      <c r="A46" s="5" t="s">
        <v>198</v>
      </c>
      <c r="B46" s="5" t="s">
        <v>10</v>
      </c>
      <c r="C46" s="5"/>
      <c r="D46" s="5" t="s">
        <v>199</v>
      </c>
      <c r="E46" s="5" t="s">
        <v>200</v>
      </c>
      <c r="F46" s="5" t="s">
        <v>201</v>
      </c>
      <c r="G46" s="9">
        <v>1189.5</v>
      </c>
      <c r="H46" s="9">
        <v>360</v>
      </c>
      <c r="I46" s="10">
        <v>428220</v>
      </c>
      <c r="J46" s="7">
        <f t="shared" si="0"/>
        <v>428220</v>
      </c>
      <c r="K46" s="7">
        <f t="shared" si="1"/>
        <v>0</v>
      </c>
      <c r="L46" s="5"/>
      <c r="M46" s="5">
        <v>7</v>
      </c>
      <c r="N46" s="5" t="s">
        <v>62</v>
      </c>
      <c r="O46" s="5" t="s">
        <v>84</v>
      </c>
      <c r="P46" s="5"/>
    </row>
    <row r="47" spans="1:16" ht="14" customHeight="1">
      <c r="A47" s="6" t="s">
        <v>202</v>
      </c>
      <c r="B47" s="6" t="s">
        <v>10</v>
      </c>
      <c r="C47" s="6"/>
      <c r="D47" s="6" t="s">
        <v>203</v>
      </c>
      <c r="E47" s="6" t="s">
        <v>204</v>
      </c>
      <c r="F47" s="6" t="s">
        <v>126</v>
      </c>
      <c r="G47" s="11">
        <v>12533.35</v>
      </c>
      <c r="H47" s="11">
        <v>1050</v>
      </c>
      <c r="I47" s="12">
        <v>13160018</v>
      </c>
      <c r="J47" s="8">
        <f t="shared" si="0"/>
        <v>13160018</v>
      </c>
      <c r="K47" s="8">
        <f t="shared" si="1"/>
        <v>0</v>
      </c>
      <c r="L47" s="6"/>
      <c r="M47" s="6">
        <v>7</v>
      </c>
      <c r="N47" s="6" t="s">
        <v>62</v>
      </c>
      <c r="O47" s="6" t="s">
        <v>84</v>
      </c>
      <c r="P47" s="6"/>
    </row>
    <row r="48" spans="1:16" ht="14" customHeight="1">
      <c r="A48" s="5" t="s">
        <v>205</v>
      </c>
      <c r="B48" s="5" t="s">
        <v>10</v>
      </c>
      <c r="C48" s="5"/>
      <c r="D48" s="5" t="s">
        <v>206</v>
      </c>
      <c r="E48" s="5" t="s">
        <v>207</v>
      </c>
      <c r="F48" s="5" t="s">
        <v>126</v>
      </c>
      <c r="G48" s="9">
        <v>7913.92</v>
      </c>
      <c r="H48" s="9">
        <v>280</v>
      </c>
      <c r="I48" s="10">
        <v>2215898</v>
      </c>
      <c r="J48" s="7">
        <f t="shared" si="0"/>
        <v>2215898</v>
      </c>
      <c r="K48" s="7">
        <f t="shared" si="1"/>
        <v>0</v>
      </c>
      <c r="L48" s="5"/>
      <c r="M48" s="5">
        <v>7</v>
      </c>
      <c r="N48" s="5" t="s">
        <v>62</v>
      </c>
      <c r="O48" s="5" t="s">
        <v>84</v>
      </c>
      <c r="P48" s="5"/>
    </row>
    <row r="49" spans="1:16" ht="14" customHeight="1">
      <c r="A49" s="6" t="s">
        <v>208</v>
      </c>
      <c r="B49" s="6" t="s">
        <v>10</v>
      </c>
      <c r="C49" s="6"/>
      <c r="D49" s="6" t="s">
        <v>209</v>
      </c>
      <c r="E49" s="6" t="s">
        <v>210</v>
      </c>
      <c r="F49" s="6" t="s">
        <v>211</v>
      </c>
      <c r="G49" s="11">
        <v>4655.22</v>
      </c>
      <c r="H49" s="11">
        <v>110</v>
      </c>
      <c r="I49" s="12">
        <v>512074</v>
      </c>
      <c r="J49" s="8">
        <f t="shared" si="0"/>
        <v>512074</v>
      </c>
      <c r="K49" s="8">
        <f t="shared" si="1"/>
        <v>0</v>
      </c>
      <c r="L49" s="6"/>
      <c r="M49" s="6">
        <v>7</v>
      </c>
      <c r="N49" s="6" t="s">
        <v>62</v>
      </c>
      <c r="O49" s="6" t="s">
        <v>84</v>
      </c>
      <c r="P49" s="6"/>
    </row>
    <row r="50" spans="1:16" ht="14" customHeight="1">
      <c r="A50" s="5" t="s">
        <v>212</v>
      </c>
      <c r="B50" s="5" t="s">
        <v>10</v>
      </c>
      <c r="C50" s="5"/>
      <c r="D50" s="5" t="s">
        <v>213</v>
      </c>
      <c r="E50" s="5" t="s">
        <v>214</v>
      </c>
      <c r="F50" s="5" t="s">
        <v>126</v>
      </c>
      <c r="G50" s="9">
        <v>3901.02</v>
      </c>
      <c r="H50" s="9">
        <v>65</v>
      </c>
      <c r="I50" s="10">
        <v>253566</v>
      </c>
      <c r="J50" s="7">
        <f t="shared" si="0"/>
        <v>253566</v>
      </c>
      <c r="K50" s="7">
        <f t="shared" si="1"/>
        <v>0</v>
      </c>
      <c r="L50" s="5"/>
      <c r="M50" s="5">
        <v>7</v>
      </c>
      <c r="N50" s="5" t="s">
        <v>62</v>
      </c>
      <c r="O50" s="5" t="s">
        <v>84</v>
      </c>
      <c r="P50" s="5"/>
    </row>
    <row r="51" spans="1:16" ht="14" customHeight="1">
      <c r="A51" s="6" t="s">
        <v>215</v>
      </c>
      <c r="B51" s="6" t="s">
        <v>10</v>
      </c>
      <c r="C51" s="6"/>
      <c r="D51" s="6" t="s">
        <v>216</v>
      </c>
      <c r="E51" s="6" t="s">
        <v>217</v>
      </c>
      <c r="F51" s="6" t="s">
        <v>211</v>
      </c>
      <c r="G51" s="11">
        <v>708.04</v>
      </c>
      <c r="H51" s="11">
        <v>150</v>
      </c>
      <c r="I51" s="12">
        <v>106206</v>
      </c>
      <c r="J51" s="8">
        <f t="shared" si="0"/>
        <v>106206</v>
      </c>
      <c r="K51" s="8">
        <f t="shared" si="1"/>
        <v>0</v>
      </c>
      <c r="L51" s="6"/>
      <c r="M51" s="6">
        <v>7</v>
      </c>
      <c r="N51" s="6" t="s">
        <v>62</v>
      </c>
      <c r="O51" s="6" t="s">
        <v>84</v>
      </c>
      <c r="P51" s="6"/>
    </row>
    <row r="52" spans="1:16" ht="14" customHeight="1">
      <c r="A52" s="5" t="s">
        <v>218</v>
      </c>
      <c r="B52" s="5" t="s">
        <v>10</v>
      </c>
      <c r="C52" s="5"/>
      <c r="D52" s="5" t="s">
        <v>219</v>
      </c>
      <c r="E52" s="5" t="s">
        <v>220</v>
      </c>
      <c r="F52" s="5" t="s">
        <v>144</v>
      </c>
      <c r="G52" s="9">
        <v>18</v>
      </c>
      <c r="H52" s="9">
        <v>420</v>
      </c>
      <c r="I52" s="10">
        <v>7560</v>
      </c>
      <c r="J52" s="7">
        <f t="shared" si="0"/>
        <v>7560</v>
      </c>
      <c r="K52" s="7">
        <f t="shared" si="1"/>
        <v>0</v>
      </c>
      <c r="L52" s="5"/>
      <c r="M52" s="5">
        <v>7</v>
      </c>
      <c r="N52" s="5" t="s">
        <v>62</v>
      </c>
      <c r="O52" s="5" t="s">
        <v>84</v>
      </c>
      <c r="P52" s="5"/>
    </row>
    <row r="53" spans="1:16" ht="14" customHeight="1">
      <c r="A53" s="6" t="s">
        <v>221</v>
      </c>
      <c r="B53" s="6" t="s">
        <v>10</v>
      </c>
      <c r="C53" s="6"/>
      <c r="D53" s="6" t="s">
        <v>222</v>
      </c>
      <c r="E53" s="6" t="s">
        <v>223</v>
      </c>
      <c r="F53" s="6" t="s">
        <v>211</v>
      </c>
      <c r="G53" s="11">
        <v>16.97</v>
      </c>
      <c r="H53" s="11">
        <v>650</v>
      </c>
      <c r="I53" s="12">
        <v>11031</v>
      </c>
      <c r="J53" s="8">
        <f t="shared" si="0"/>
        <v>11031</v>
      </c>
      <c r="K53" s="8">
        <f t="shared" si="1"/>
        <v>0</v>
      </c>
      <c r="L53" s="6"/>
      <c r="M53" s="6">
        <v>7</v>
      </c>
      <c r="N53" s="6" t="s">
        <v>62</v>
      </c>
      <c r="O53" s="6" t="s">
        <v>84</v>
      </c>
      <c r="P53" s="6"/>
    </row>
    <row r="54" spans="1:16" ht="14" customHeight="1">
      <c r="A54" s="5" t="s">
        <v>224</v>
      </c>
      <c r="B54" s="5" t="s">
        <v>10</v>
      </c>
      <c r="C54" s="5"/>
      <c r="D54" s="5" t="s">
        <v>225</v>
      </c>
      <c r="E54" s="5" t="s">
        <v>226</v>
      </c>
      <c r="F54" s="5" t="s">
        <v>211</v>
      </c>
      <c r="G54" s="9">
        <v>476.31</v>
      </c>
      <c r="H54" s="9">
        <v>260</v>
      </c>
      <c r="I54" s="10">
        <v>123841</v>
      </c>
      <c r="J54" s="7">
        <f t="shared" si="0"/>
        <v>123841</v>
      </c>
      <c r="K54" s="7">
        <f t="shared" si="1"/>
        <v>0</v>
      </c>
      <c r="L54" s="5"/>
      <c r="M54" s="5">
        <v>7</v>
      </c>
      <c r="N54" s="5" t="s">
        <v>62</v>
      </c>
      <c r="O54" s="5" t="s">
        <v>84</v>
      </c>
      <c r="P54" s="5"/>
    </row>
    <row r="55" spans="1:16" ht="14" customHeight="1">
      <c r="A55" s="6" t="s">
        <v>227</v>
      </c>
      <c r="B55" s="6" t="s">
        <v>10</v>
      </c>
      <c r="C55" s="6"/>
      <c r="D55" s="6" t="s">
        <v>228</v>
      </c>
      <c r="E55" s="6" t="s">
        <v>229</v>
      </c>
      <c r="F55" s="6" t="s">
        <v>130</v>
      </c>
      <c r="G55" s="11">
        <v>118</v>
      </c>
      <c r="H55" s="11">
        <v>350</v>
      </c>
      <c r="I55" s="12">
        <v>41300</v>
      </c>
      <c r="J55" s="8">
        <f t="shared" si="0"/>
        <v>41300</v>
      </c>
      <c r="K55" s="8">
        <f t="shared" si="1"/>
        <v>0</v>
      </c>
      <c r="L55" s="6"/>
      <c r="M55" s="6">
        <v>7</v>
      </c>
      <c r="N55" s="6" t="s">
        <v>62</v>
      </c>
      <c r="O55" s="6" t="s">
        <v>84</v>
      </c>
      <c r="P55" s="6"/>
    </row>
    <row r="56" spans="1:16" ht="14" customHeight="1">
      <c r="A56" s="5" t="s">
        <v>230</v>
      </c>
      <c r="B56" s="5" t="s">
        <v>10</v>
      </c>
      <c r="C56" s="5"/>
      <c r="D56" s="5" t="s">
        <v>231</v>
      </c>
      <c r="E56" s="5" t="s">
        <v>232</v>
      </c>
      <c r="F56" s="5" t="s">
        <v>137</v>
      </c>
      <c r="G56" s="9">
        <v>23</v>
      </c>
      <c r="H56" s="9">
        <v>900</v>
      </c>
      <c r="I56" s="10">
        <v>20700</v>
      </c>
      <c r="J56" s="7">
        <f t="shared" si="0"/>
        <v>20700</v>
      </c>
      <c r="K56" s="7">
        <f t="shared" si="1"/>
        <v>0</v>
      </c>
      <c r="L56" s="5"/>
      <c r="M56" s="5">
        <v>7</v>
      </c>
      <c r="N56" s="5" t="s">
        <v>62</v>
      </c>
      <c r="O56" s="5" t="s">
        <v>84</v>
      </c>
      <c r="P56" s="5"/>
    </row>
    <row r="57" spans="1:16" ht="14" customHeight="1">
      <c r="A57" s="6" t="s">
        <v>233</v>
      </c>
      <c r="B57" s="6" t="s">
        <v>10</v>
      </c>
      <c r="C57" s="6"/>
      <c r="D57" s="6" t="s">
        <v>234</v>
      </c>
      <c r="E57" s="6" t="s">
        <v>235</v>
      </c>
      <c r="F57" s="6" t="s">
        <v>126</v>
      </c>
      <c r="G57" s="11">
        <v>3215.95</v>
      </c>
      <c r="H57" s="11">
        <v>346</v>
      </c>
      <c r="I57" s="12">
        <v>1112719</v>
      </c>
      <c r="J57" s="8">
        <f t="shared" si="0"/>
        <v>1112719</v>
      </c>
      <c r="K57" s="8">
        <f t="shared" si="1"/>
        <v>0</v>
      </c>
      <c r="L57" s="6"/>
      <c r="M57" s="6">
        <v>7</v>
      </c>
      <c r="N57" s="6" t="s">
        <v>62</v>
      </c>
      <c r="O57" s="6" t="s">
        <v>84</v>
      </c>
      <c r="P57" s="6"/>
    </row>
    <row r="58" spans="1:16" ht="14" customHeight="1">
      <c r="A58" s="5" t="s">
        <v>236</v>
      </c>
      <c r="B58" s="5" t="s">
        <v>10</v>
      </c>
      <c r="C58" s="5"/>
      <c r="D58" s="5" t="s">
        <v>237</v>
      </c>
      <c r="E58" s="5" t="s">
        <v>238</v>
      </c>
      <c r="F58" s="5" t="s">
        <v>88</v>
      </c>
      <c r="G58" s="9">
        <v>687.55</v>
      </c>
      <c r="H58" s="9">
        <v>250</v>
      </c>
      <c r="I58" s="10">
        <v>171888</v>
      </c>
      <c r="J58" s="7">
        <f t="shared" si="0"/>
        <v>171888</v>
      </c>
      <c r="K58" s="7">
        <f t="shared" si="1"/>
        <v>0</v>
      </c>
      <c r="L58" s="5"/>
      <c r="M58" s="5">
        <v>7</v>
      </c>
      <c r="N58" s="5" t="s">
        <v>62</v>
      </c>
      <c r="O58" s="5" t="s">
        <v>84</v>
      </c>
      <c r="P58" s="5"/>
    </row>
    <row r="59" spans="1:16" ht="14" customHeight="1">
      <c r="A59" s="6" t="s">
        <v>239</v>
      </c>
      <c r="B59" s="6" t="s">
        <v>10</v>
      </c>
      <c r="C59" s="6"/>
      <c r="D59" s="6" t="s">
        <v>240</v>
      </c>
      <c r="E59" s="6" t="s">
        <v>241</v>
      </c>
      <c r="F59" s="6" t="s">
        <v>144</v>
      </c>
      <c r="G59" s="11">
        <v>4</v>
      </c>
      <c r="H59" s="11">
        <v>12000</v>
      </c>
      <c r="I59" s="12">
        <v>48000</v>
      </c>
      <c r="J59" s="8">
        <f t="shared" si="0"/>
        <v>48000</v>
      </c>
      <c r="K59" s="8">
        <f t="shared" si="1"/>
        <v>0</v>
      </c>
      <c r="L59" s="6"/>
      <c r="M59" s="6">
        <v>7</v>
      </c>
      <c r="N59" s="6" t="s">
        <v>62</v>
      </c>
      <c r="O59" s="6" t="s">
        <v>84</v>
      </c>
      <c r="P59" s="6"/>
    </row>
    <row r="60" spans="1:16" ht="14" customHeight="1">
      <c r="A60" s="5" t="s">
        <v>242</v>
      </c>
      <c r="B60" s="5" t="s">
        <v>10</v>
      </c>
      <c r="C60" s="5"/>
      <c r="D60" s="5" t="s">
        <v>243</v>
      </c>
      <c r="E60" s="5" t="s">
        <v>244</v>
      </c>
      <c r="F60" s="5" t="s">
        <v>100</v>
      </c>
      <c r="G60" s="9">
        <v>110.35</v>
      </c>
      <c r="H60" s="9">
        <v>380</v>
      </c>
      <c r="I60" s="10">
        <v>41933</v>
      </c>
      <c r="J60" s="7">
        <f t="shared" si="0"/>
        <v>41933</v>
      </c>
      <c r="K60" s="7">
        <f t="shared" si="1"/>
        <v>0</v>
      </c>
      <c r="L60" s="5"/>
      <c r="M60" s="5">
        <v>7</v>
      </c>
      <c r="N60" s="5" t="s">
        <v>62</v>
      </c>
      <c r="O60" s="5" t="s">
        <v>84</v>
      </c>
      <c r="P60" s="5"/>
    </row>
    <row r="61" spans="1:16" ht="14" customHeight="1">
      <c r="A61" s="6" t="s">
        <v>245</v>
      </c>
      <c r="B61" s="6" t="s">
        <v>10</v>
      </c>
      <c r="C61" s="6"/>
      <c r="D61" s="6" t="s">
        <v>246</v>
      </c>
      <c r="E61" s="6" t="s">
        <v>247</v>
      </c>
      <c r="F61" s="6" t="s">
        <v>126</v>
      </c>
      <c r="G61" s="11">
        <v>1541.22</v>
      </c>
      <c r="H61" s="11">
        <v>144</v>
      </c>
      <c r="I61" s="12">
        <v>221936</v>
      </c>
      <c r="J61" s="8">
        <f t="shared" si="0"/>
        <v>221936</v>
      </c>
      <c r="K61" s="8">
        <f t="shared" si="1"/>
        <v>0</v>
      </c>
      <c r="L61" s="6"/>
      <c r="M61" s="6">
        <v>7</v>
      </c>
      <c r="N61" s="6" t="s">
        <v>62</v>
      </c>
      <c r="O61" s="6" t="s">
        <v>84</v>
      </c>
      <c r="P61" s="6"/>
    </row>
    <row r="62" spans="1:16" ht="14" customHeight="1">
      <c r="A62" s="5" t="s">
        <v>248</v>
      </c>
      <c r="B62" s="5" t="s">
        <v>11</v>
      </c>
      <c r="C62" s="5"/>
      <c r="D62" s="5" t="s">
        <v>249</v>
      </c>
      <c r="E62" s="5" t="s">
        <v>250</v>
      </c>
      <c r="F62" s="5" t="s">
        <v>126</v>
      </c>
      <c r="G62" s="9">
        <v>6317.2</v>
      </c>
      <c r="H62" s="9">
        <v>70</v>
      </c>
      <c r="I62" s="10">
        <v>442204</v>
      </c>
      <c r="J62" s="7">
        <f t="shared" si="0"/>
        <v>442204</v>
      </c>
      <c r="K62" s="7">
        <f t="shared" si="1"/>
        <v>0</v>
      </c>
      <c r="L62" s="5"/>
      <c r="M62" s="5">
        <v>8</v>
      </c>
      <c r="N62" s="5" t="s">
        <v>62</v>
      </c>
      <c r="O62" s="5" t="s">
        <v>251</v>
      </c>
      <c r="P62" s="5"/>
    </row>
    <row r="63" spans="1:16" ht="14" customHeight="1">
      <c r="A63" s="6" t="s">
        <v>252</v>
      </c>
      <c r="B63" s="6" t="s">
        <v>11</v>
      </c>
      <c r="C63" s="6"/>
      <c r="D63" s="6" t="s">
        <v>253</v>
      </c>
      <c r="E63" s="6" t="s">
        <v>254</v>
      </c>
      <c r="F63" s="6" t="s">
        <v>126</v>
      </c>
      <c r="G63" s="11">
        <v>96.1</v>
      </c>
      <c r="H63" s="11">
        <v>1730</v>
      </c>
      <c r="I63" s="12">
        <v>166253</v>
      </c>
      <c r="J63" s="8">
        <f t="shared" si="0"/>
        <v>166253</v>
      </c>
      <c r="K63" s="8">
        <f t="shared" si="1"/>
        <v>0</v>
      </c>
      <c r="L63" s="6" t="s">
        <v>255</v>
      </c>
      <c r="M63" s="6">
        <v>8</v>
      </c>
      <c r="N63" s="6" t="s">
        <v>62</v>
      </c>
      <c r="O63" s="6" t="s">
        <v>251</v>
      </c>
      <c r="P63" s="6"/>
    </row>
    <row r="64" spans="1:16" ht="14" customHeight="1">
      <c r="A64" s="5" t="s">
        <v>256</v>
      </c>
      <c r="B64" s="5" t="s">
        <v>11</v>
      </c>
      <c r="C64" s="5"/>
      <c r="D64" s="5" t="s">
        <v>257</v>
      </c>
      <c r="E64" s="5" t="s">
        <v>258</v>
      </c>
      <c r="F64" s="5" t="s">
        <v>126</v>
      </c>
      <c r="G64" s="9">
        <v>425.8</v>
      </c>
      <c r="H64" s="9">
        <v>1620</v>
      </c>
      <c r="I64" s="10">
        <v>689796</v>
      </c>
      <c r="J64" s="7">
        <f t="shared" si="0"/>
        <v>689796</v>
      </c>
      <c r="K64" s="7">
        <f t="shared" si="1"/>
        <v>0</v>
      </c>
      <c r="L64" s="5" t="s">
        <v>259</v>
      </c>
      <c r="M64" s="5">
        <v>8</v>
      </c>
      <c r="N64" s="5" t="s">
        <v>62</v>
      </c>
      <c r="O64" s="5" t="s">
        <v>251</v>
      </c>
      <c r="P64" s="5"/>
    </row>
    <row r="65" spans="1:16" ht="14" customHeight="1">
      <c r="A65" s="6" t="s">
        <v>260</v>
      </c>
      <c r="B65" s="6" t="s">
        <v>11</v>
      </c>
      <c r="C65" s="6"/>
      <c r="D65" s="6" t="s">
        <v>261</v>
      </c>
      <c r="E65" s="6" t="s">
        <v>262</v>
      </c>
      <c r="F65" s="6" t="s">
        <v>211</v>
      </c>
      <c r="G65" s="11">
        <v>179.74</v>
      </c>
      <c r="H65" s="11">
        <v>600</v>
      </c>
      <c r="I65" s="12">
        <v>107844</v>
      </c>
      <c r="J65" s="8">
        <f t="shared" si="0"/>
        <v>107844</v>
      </c>
      <c r="K65" s="8">
        <f t="shared" si="1"/>
        <v>0</v>
      </c>
      <c r="L65" s="6"/>
      <c r="M65" s="6">
        <v>8</v>
      </c>
      <c r="N65" s="6" t="s">
        <v>62</v>
      </c>
      <c r="O65" s="6" t="s">
        <v>251</v>
      </c>
      <c r="P65" s="6"/>
    </row>
    <row r="66" spans="1:16" ht="14" customHeight="1">
      <c r="A66" s="5" t="s">
        <v>263</v>
      </c>
      <c r="B66" s="5" t="s">
        <v>11</v>
      </c>
      <c r="C66" s="5"/>
      <c r="D66" s="5" t="s">
        <v>264</v>
      </c>
      <c r="E66" s="5" t="s">
        <v>265</v>
      </c>
      <c r="F66" s="5" t="s">
        <v>126</v>
      </c>
      <c r="G66" s="9">
        <v>1110.75</v>
      </c>
      <c r="H66" s="9">
        <v>1450</v>
      </c>
      <c r="I66" s="10">
        <v>1610588</v>
      </c>
      <c r="J66" s="7">
        <f t="shared" si="0"/>
        <v>1610588</v>
      </c>
      <c r="K66" s="7">
        <f t="shared" si="1"/>
        <v>0</v>
      </c>
      <c r="L66" s="5" t="s">
        <v>266</v>
      </c>
      <c r="M66" s="5">
        <v>8</v>
      </c>
      <c r="N66" s="5" t="s">
        <v>62</v>
      </c>
      <c r="O66" s="5" t="s">
        <v>251</v>
      </c>
      <c r="P66" s="5"/>
    </row>
    <row r="67" spans="1:16" ht="14" customHeight="1">
      <c r="A67" s="6" t="s">
        <v>267</v>
      </c>
      <c r="B67" s="6" t="s">
        <v>11</v>
      </c>
      <c r="C67" s="6"/>
      <c r="D67" s="6" t="s">
        <v>268</v>
      </c>
      <c r="E67" s="6" t="s">
        <v>269</v>
      </c>
      <c r="F67" s="6" t="s">
        <v>126</v>
      </c>
      <c r="G67" s="11">
        <v>139.26</v>
      </c>
      <c r="H67" s="11">
        <v>1450</v>
      </c>
      <c r="I67" s="12">
        <v>201927</v>
      </c>
      <c r="J67" s="8">
        <f t="shared" si="0"/>
        <v>201927</v>
      </c>
      <c r="K67" s="8">
        <f t="shared" si="1"/>
        <v>0</v>
      </c>
      <c r="L67" s="6" t="s">
        <v>270</v>
      </c>
      <c r="M67" s="6">
        <v>8</v>
      </c>
      <c r="N67" s="6" t="s">
        <v>62</v>
      </c>
      <c r="O67" s="6" t="s">
        <v>251</v>
      </c>
      <c r="P67" s="6"/>
    </row>
    <row r="68" spans="1:16" ht="14" customHeight="1">
      <c r="A68" s="5" t="s">
        <v>271</v>
      </c>
      <c r="B68" s="5" t="s">
        <v>11</v>
      </c>
      <c r="C68" s="5"/>
      <c r="D68" s="5" t="s">
        <v>272</v>
      </c>
      <c r="E68" s="5" t="s">
        <v>273</v>
      </c>
      <c r="F68" s="5" t="s">
        <v>126</v>
      </c>
      <c r="G68" s="9">
        <v>156.87</v>
      </c>
      <c r="H68" s="9">
        <v>600</v>
      </c>
      <c r="I68" s="10">
        <v>94122</v>
      </c>
      <c r="J68" s="7">
        <f t="shared" si="0"/>
        <v>94122</v>
      </c>
      <c r="K68" s="7">
        <f t="shared" si="1"/>
        <v>0</v>
      </c>
      <c r="L68" s="5"/>
      <c r="M68" s="5">
        <v>8</v>
      </c>
      <c r="N68" s="5" t="s">
        <v>62</v>
      </c>
      <c r="O68" s="5" t="s">
        <v>251</v>
      </c>
      <c r="P68" s="5"/>
    </row>
    <row r="69" spans="1:16" ht="14" customHeight="1">
      <c r="A69" s="6" t="s">
        <v>274</v>
      </c>
      <c r="B69" s="6" t="s">
        <v>11</v>
      </c>
      <c r="C69" s="6"/>
      <c r="D69" s="6" t="s">
        <v>275</v>
      </c>
      <c r="E69" s="6" t="s">
        <v>276</v>
      </c>
      <c r="F69" s="6" t="s">
        <v>148</v>
      </c>
      <c r="G69" s="11">
        <v>25</v>
      </c>
      <c r="H69" s="11">
        <v>13600</v>
      </c>
      <c r="I69" s="12">
        <v>340000</v>
      </c>
      <c r="J69" s="8">
        <f t="shared" si="0"/>
        <v>340000</v>
      </c>
      <c r="K69" s="8">
        <f t="shared" si="1"/>
        <v>0</v>
      </c>
      <c r="L69" s="6"/>
      <c r="M69" s="6">
        <v>8</v>
      </c>
      <c r="N69" s="6" t="s">
        <v>62</v>
      </c>
      <c r="O69" s="6" t="s">
        <v>251</v>
      </c>
      <c r="P69" s="6"/>
    </row>
    <row r="70" spans="1:16" ht="14" customHeight="1">
      <c r="A70" s="5" t="s">
        <v>277</v>
      </c>
      <c r="B70" s="5" t="s">
        <v>11</v>
      </c>
      <c r="C70" s="5"/>
      <c r="D70" s="5" t="s">
        <v>278</v>
      </c>
      <c r="E70" s="5" t="s">
        <v>279</v>
      </c>
      <c r="F70" s="5" t="s">
        <v>148</v>
      </c>
      <c r="G70" s="9">
        <v>31</v>
      </c>
      <c r="H70" s="9">
        <v>12000</v>
      </c>
      <c r="I70" s="10">
        <v>372000</v>
      </c>
      <c r="J70" s="7">
        <f t="shared" ref="J70:J133" si="2">IF(OR(G70="",H70=""),"",ROUND(G70*H70,0))</f>
        <v>372000</v>
      </c>
      <c r="K70" s="7">
        <f t="shared" ref="K70:K133" si="3">IF(OR(I70="",J70=""),"",I70-J70)</f>
        <v>0</v>
      </c>
      <c r="L70" s="5"/>
      <c r="M70" s="5">
        <v>8</v>
      </c>
      <c r="N70" s="5" t="s">
        <v>62</v>
      </c>
      <c r="O70" s="5" t="s">
        <v>251</v>
      </c>
      <c r="P70" s="5"/>
    </row>
    <row r="71" spans="1:16" ht="14" customHeight="1">
      <c r="A71" s="6" t="s">
        <v>280</v>
      </c>
      <c r="B71" s="6" t="s">
        <v>11</v>
      </c>
      <c r="C71" s="6"/>
      <c r="D71" s="6" t="s">
        <v>281</v>
      </c>
      <c r="E71" s="6" t="s">
        <v>282</v>
      </c>
      <c r="F71" s="6" t="s">
        <v>148</v>
      </c>
      <c r="G71" s="11">
        <v>20</v>
      </c>
      <c r="H71" s="11">
        <v>10800</v>
      </c>
      <c r="I71" s="12">
        <v>216000</v>
      </c>
      <c r="J71" s="8">
        <f t="shared" si="2"/>
        <v>216000</v>
      </c>
      <c r="K71" s="8">
        <f t="shared" si="3"/>
        <v>0</v>
      </c>
      <c r="L71" s="6"/>
      <c r="M71" s="6">
        <v>8</v>
      </c>
      <c r="N71" s="6" t="s">
        <v>62</v>
      </c>
      <c r="O71" s="6" t="s">
        <v>251</v>
      </c>
      <c r="P71" s="6"/>
    </row>
    <row r="72" spans="1:16" ht="14" customHeight="1">
      <c r="A72" s="5" t="s">
        <v>283</v>
      </c>
      <c r="B72" s="5" t="s">
        <v>11</v>
      </c>
      <c r="C72" s="5"/>
      <c r="D72" s="5" t="s">
        <v>284</v>
      </c>
      <c r="E72" s="5" t="s">
        <v>285</v>
      </c>
      <c r="F72" s="5" t="s">
        <v>148</v>
      </c>
      <c r="G72" s="9">
        <v>4</v>
      </c>
      <c r="H72" s="9">
        <v>7200</v>
      </c>
      <c r="I72" s="10">
        <v>28800</v>
      </c>
      <c r="J72" s="7">
        <f t="shared" si="2"/>
        <v>28800</v>
      </c>
      <c r="K72" s="7">
        <f t="shared" si="3"/>
        <v>0</v>
      </c>
      <c r="L72" s="5"/>
      <c r="M72" s="5">
        <v>8</v>
      </c>
      <c r="N72" s="5" t="s">
        <v>62</v>
      </c>
      <c r="O72" s="5" t="s">
        <v>251</v>
      </c>
      <c r="P72" s="5"/>
    </row>
    <row r="73" spans="1:16" ht="14" customHeight="1">
      <c r="A73" s="6" t="s">
        <v>286</v>
      </c>
      <c r="B73" s="6" t="s">
        <v>11</v>
      </c>
      <c r="C73" s="6"/>
      <c r="D73" s="6" t="s">
        <v>287</v>
      </c>
      <c r="E73" s="6" t="s">
        <v>288</v>
      </c>
      <c r="F73" s="6" t="s">
        <v>126</v>
      </c>
      <c r="G73" s="11">
        <v>91.67</v>
      </c>
      <c r="H73" s="11">
        <v>1208</v>
      </c>
      <c r="I73" s="12">
        <v>110737</v>
      </c>
      <c r="J73" s="8">
        <f t="shared" si="2"/>
        <v>110737</v>
      </c>
      <c r="K73" s="8">
        <f t="shared" si="3"/>
        <v>0</v>
      </c>
      <c r="L73" s="6" t="s">
        <v>289</v>
      </c>
      <c r="M73" s="6">
        <v>8</v>
      </c>
      <c r="N73" s="6" t="s">
        <v>62</v>
      </c>
      <c r="O73" s="6" t="s">
        <v>251</v>
      </c>
      <c r="P73" s="6"/>
    </row>
    <row r="74" spans="1:16" ht="14" customHeight="1">
      <c r="A74" s="5" t="s">
        <v>290</v>
      </c>
      <c r="B74" s="5" t="s">
        <v>11</v>
      </c>
      <c r="C74" s="5"/>
      <c r="D74" s="5" t="s">
        <v>291</v>
      </c>
      <c r="E74" s="5" t="s">
        <v>292</v>
      </c>
      <c r="F74" s="5" t="s">
        <v>126</v>
      </c>
      <c r="G74" s="9">
        <v>160.88999999999999</v>
      </c>
      <c r="H74" s="9">
        <v>1208</v>
      </c>
      <c r="I74" s="10">
        <v>194355</v>
      </c>
      <c r="J74" s="7">
        <f t="shared" si="2"/>
        <v>194355</v>
      </c>
      <c r="K74" s="7">
        <f t="shared" si="3"/>
        <v>0</v>
      </c>
      <c r="L74" s="5" t="s">
        <v>289</v>
      </c>
      <c r="M74" s="5">
        <v>8</v>
      </c>
      <c r="N74" s="5" t="s">
        <v>62</v>
      </c>
      <c r="O74" s="5" t="s">
        <v>251</v>
      </c>
      <c r="P74" s="5"/>
    </row>
    <row r="75" spans="1:16" ht="14" customHeight="1">
      <c r="A75" s="6" t="s">
        <v>293</v>
      </c>
      <c r="B75" s="6" t="s">
        <v>11</v>
      </c>
      <c r="C75" s="6"/>
      <c r="D75" s="6" t="s">
        <v>294</v>
      </c>
      <c r="E75" s="6" t="s">
        <v>295</v>
      </c>
      <c r="F75" s="6" t="s">
        <v>126</v>
      </c>
      <c r="G75" s="11">
        <v>2925.82</v>
      </c>
      <c r="H75" s="11">
        <v>710</v>
      </c>
      <c r="I75" s="12">
        <v>2077332</v>
      </c>
      <c r="J75" s="8">
        <f t="shared" si="2"/>
        <v>2077332</v>
      </c>
      <c r="K75" s="8">
        <f t="shared" si="3"/>
        <v>0</v>
      </c>
      <c r="L75" s="6" t="s">
        <v>296</v>
      </c>
      <c r="M75" s="6">
        <v>8</v>
      </c>
      <c r="N75" s="6" t="s">
        <v>62</v>
      </c>
      <c r="O75" s="6" t="s">
        <v>251</v>
      </c>
      <c r="P75" s="6"/>
    </row>
    <row r="76" spans="1:16" ht="14" customHeight="1">
      <c r="A76" s="5" t="s">
        <v>297</v>
      </c>
      <c r="B76" s="5" t="s">
        <v>11</v>
      </c>
      <c r="C76" s="5"/>
      <c r="D76" s="5" t="s">
        <v>298</v>
      </c>
      <c r="E76" s="5" t="s">
        <v>299</v>
      </c>
      <c r="F76" s="5" t="s">
        <v>126</v>
      </c>
      <c r="G76" s="9">
        <v>123.19</v>
      </c>
      <c r="H76" s="9">
        <v>1771</v>
      </c>
      <c r="I76" s="10">
        <v>218169</v>
      </c>
      <c r="J76" s="7">
        <f t="shared" si="2"/>
        <v>218169</v>
      </c>
      <c r="K76" s="7">
        <f t="shared" si="3"/>
        <v>0</v>
      </c>
      <c r="L76" s="5" t="s">
        <v>300</v>
      </c>
      <c r="M76" s="5">
        <v>8</v>
      </c>
      <c r="N76" s="5" t="s">
        <v>62</v>
      </c>
      <c r="O76" s="5" t="s">
        <v>251</v>
      </c>
      <c r="P76" s="5"/>
    </row>
    <row r="77" spans="1:16" ht="14" customHeight="1">
      <c r="A77" s="6" t="s">
        <v>301</v>
      </c>
      <c r="B77" s="6" t="s">
        <v>11</v>
      </c>
      <c r="C77" s="6"/>
      <c r="D77" s="6" t="s">
        <v>302</v>
      </c>
      <c r="E77" s="6" t="s">
        <v>303</v>
      </c>
      <c r="F77" s="6" t="s">
        <v>126</v>
      </c>
      <c r="G77" s="11">
        <v>48.62</v>
      </c>
      <c r="H77" s="11">
        <v>1861</v>
      </c>
      <c r="I77" s="12">
        <v>90482</v>
      </c>
      <c r="J77" s="8">
        <f t="shared" si="2"/>
        <v>90482</v>
      </c>
      <c r="K77" s="8">
        <f t="shared" si="3"/>
        <v>0</v>
      </c>
      <c r="L77" s="6" t="s">
        <v>300</v>
      </c>
      <c r="M77" s="6">
        <v>8</v>
      </c>
      <c r="N77" s="6" t="s">
        <v>62</v>
      </c>
      <c r="O77" s="6" t="s">
        <v>251</v>
      </c>
      <c r="P77" s="6"/>
    </row>
    <row r="78" spans="1:16" ht="14" customHeight="1">
      <c r="A78" s="5" t="s">
        <v>304</v>
      </c>
      <c r="B78" s="5" t="s">
        <v>11</v>
      </c>
      <c r="C78" s="5"/>
      <c r="D78" s="5" t="s">
        <v>305</v>
      </c>
      <c r="E78" s="5" t="s">
        <v>306</v>
      </c>
      <c r="F78" s="5" t="s">
        <v>126</v>
      </c>
      <c r="G78" s="9">
        <v>332.69</v>
      </c>
      <c r="H78" s="9">
        <v>1489</v>
      </c>
      <c r="I78" s="10">
        <v>495375</v>
      </c>
      <c r="J78" s="7">
        <f t="shared" si="2"/>
        <v>495375</v>
      </c>
      <c r="K78" s="7">
        <f t="shared" si="3"/>
        <v>0</v>
      </c>
      <c r="L78" s="5" t="s">
        <v>307</v>
      </c>
      <c r="M78" s="5">
        <v>9</v>
      </c>
      <c r="N78" s="5" t="s">
        <v>62</v>
      </c>
      <c r="O78" s="5" t="s">
        <v>251</v>
      </c>
      <c r="P78" s="5"/>
    </row>
    <row r="79" spans="1:16" ht="14" customHeight="1">
      <c r="A79" s="6" t="s">
        <v>308</v>
      </c>
      <c r="B79" s="6" t="s">
        <v>11</v>
      </c>
      <c r="C79" s="6"/>
      <c r="D79" s="6" t="s">
        <v>309</v>
      </c>
      <c r="E79" s="6" t="s">
        <v>310</v>
      </c>
      <c r="F79" s="6" t="s">
        <v>126</v>
      </c>
      <c r="G79" s="11">
        <v>125.66</v>
      </c>
      <c r="H79" s="11">
        <v>2519</v>
      </c>
      <c r="I79" s="12">
        <v>316538</v>
      </c>
      <c r="J79" s="8">
        <f t="shared" si="2"/>
        <v>316538</v>
      </c>
      <c r="K79" s="8">
        <f t="shared" si="3"/>
        <v>0</v>
      </c>
      <c r="L79" s="6" t="s">
        <v>311</v>
      </c>
      <c r="M79" s="6">
        <v>9</v>
      </c>
      <c r="N79" s="6" t="s">
        <v>62</v>
      </c>
      <c r="O79" s="6" t="s">
        <v>251</v>
      </c>
      <c r="P79" s="6"/>
    </row>
    <row r="80" spans="1:16" ht="14" customHeight="1">
      <c r="A80" s="5" t="s">
        <v>312</v>
      </c>
      <c r="B80" s="5" t="s">
        <v>11</v>
      </c>
      <c r="C80" s="5"/>
      <c r="D80" s="5" t="s">
        <v>313</v>
      </c>
      <c r="E80" s="5" t="s">
        <v>314</v>
      </c>
      <c r="F80" s="5" t="s">
        <v>211</v>
      </c>
      <c r="G80" s="9">
        <v>382.34</v>
      </c>
      <c r="H80" s="9">
        <v>70</v>
      </c>
      <c r="I80" s="10">
        <v>26764</v>
      </c>
      <c r="J80" s="7">
        <f t="shared" si="2"/>
        <v>26764</v>
      </c>
      <c r="K80" s="7">
        <f t="shared" si="3"/>
        <v>0</v>
      </c>
      <c r="L80" s="5" t="s">
        <v>315</v>
      </c>
      <c r="M80" s="5">
        <v>9</v>
      </c>
      <c r="N80" s="5" t="s">
        <v>62</v>
      </c>
      <c r="O80" s="5" t="s">
        <v>251</v>
      </c>
      <c r="P80" s="5"/>
    </row>
    <row r="81" spans="1:16" ht="14" customHeight="1">
      <c r="A81" s="6" t="s">
        <v>316</v>
      </c>
      <c r="B81" s="6" t="s">
        <v>11</v>
      </c>
      <c r="C81" s="6"/>
      <c r="D81" s="6" t="s">
        <v>317</v>
      </c>
      <c r="E81" s="6" t="s">
        <v>318</v>
      </c>
      <c r="F81" s="6" t="s">
        <v>126</v>
      </c>
      <c r="G81" s="11">
        <v>28.74</v>
      </c>
      <c r="H81" s="11">
        <v>1208</v>
      </c>
      <c r="I81" s="12">
        <v>34718</v>
      </c>
      <c r="J81" s="8">
        <f t="shared" si="2"/>
        <v>34718</v>
      </c>
      <c r="K81" s="8">
        <f t="shared" si="3"/>
        <v>0</v>
      </c>
      <c r="L81" s="6" t="s">
        <v>289</v>
      </c>
      <c r="M81" s="6">
        <v>9</v>
      </c>
      <c r="N81" s="6" t="s">
        <v>62</v>
      </c>
      <c r="O81" s="6" t="s">
        <v>251</v>
      </c>
      <c r="P81" s="6"/>
    </row>
    <row r="82" spans="1:16" ht="14" customHeight="1">
      <c r="A82" s="5" t="s">
        <v>319</v>
      </c>
      <c r="B82" s="5" t="s">
        <v>11</v>
      </c>
      <c r="C82" s="5"/>
      <c r="D82" s="5" t="s">
        <v>320</v>
      </c>
      <c r="E82" s="5" t="s">
        <v>321</v>
      </c>
      <c r="F82" s="5" t="s">
        <v>126</v>
      </c>
      <c r="G82" s="9">
        <v>197.55</v>
      </c>
      <c r="H82" s="9">
        <v>1936</v>
      </c>
      <c r="I82" s="10">
        <v>382457</v>
      </c>
      <c r="J82" s="7">
        <f t="shared" si="2"/>
        <v>382457</v>
      </c>
      <c r="K82" s="7">
        <f t="shared" si="3"/>
        <v>0</v>
      </c>
      <c r="L82" s="5" t="s">
        <v>322</v>
      </c>
      <c r="M82" s="5">
        <v>9</v>
      </c>
      <c r="N82" s="5" t="s">
        <v>62</v>
      </c>
      <c r="O82" s="5" t="s">
        <v>251</v>
      </c>
      <c r="P82" s="5"/>
    </row>
    <row r="83" spans="1:16" ht="14" customHeight="1">
      <c r="A83" s="6" t="s">
        <v>323</v>
      </c>
      <c r="B83" s="6" t="s">
        <v>11</v>
      </c>
      <c r="C83" s="6"/>
      <c r="D83" s="6" t="s">
        <v>324</v>
      </c>
      <c r="E83" s="6" t="s">
        <v>325</v>
      </c>
      <c r="F83" s="6" t="s">
        <v>126</v>
      </c>
      <c r="G83" s="11">
        <v>25.34</v>
      </c>
      <c r="H83" s="11">
        <v>1734</v>
      </c>
      <c r="I83" s="12">
        <v>43940</v>
      </c>
      <c r="J83" s="8">
        <f t="shared" si="2"/>
        <v>43940</v>
      </c>
      <c r="K83" s="8">
        <f t="shared" si="3"/>
        <v>0</v>
      </c>
      <c r="L83" s="6"/>
      <c r="M83" s="6">
        <v>9</v>
      </c>
      <c r="N83" s="6" t="s">
        <v>62</v>
      </c>
      <c r="O83" s="6" t="s">
        <v>251</v>
      </c>
      <c r="P83" s="6"/>
    </row>
    <row r="84" spans="1:16" ht="14" customHeight="1">
      <c r="A84" s="5" t="s">
        <v>326</v>
      </c>
      <c r="B84" s="5" t="s">
        <v>11</v>
      </c>
      <c r="C84" s="5"/>
      <c r="D84" s="5" t="s">
        <v>327</v>
      </c>
      <c r="E84" s="5" t="s">
        <v>328</v>
      </c>
      <c r="F84" s="5" t="s">
        <v>126</v>
      </c>
      <c r="G84" s="9">
        <v>1565.1</v>
      </c>
      <c r="H84" s="9">
        <v>1816</v>
      </c>
      <c r="I84" s="10">
        <v>2842222</v>
      </c>
      <c r="J84" s="7">
        <f t="shared" si="2"/>
        <v>2842222</v>
      </c>
      <c r="K84" s="7">
        <f t="shared" si="3"/>
        <v>0</v>
      </c>
      <c r="L84" s="5" t="s">
        <v>289</v>
      </c>
      <c r="M84" s="5">
        <v>9</v>
      </c>
      <c r="N84" s="5" t="s">
        <v>62</v>
      </c>
      <c r="O84" s="5" t="s">
        <v>251</v>
      </c>
      <c r="P84" s="5"/>
    </row>
    <row r="85" spans="1:16" ht="14" customHeight="1">
      <c r="A85" s="6" t="s">
        <v>329</v>
      </c>
      <c r="B85" s="6" t="s">
        <v>11</v>
      </c>
      <c r="C85" s="6"/>
      <c r="D85" s="6" t="s">
        <v>330</v>
      </c>
      <c r="E85" s="6" t="s">
        <v>331</v>
      </c>
      <c r="F85" s="6" t="s">
        <v>126</v>
      </c>
      <c r="G85" s="11">
        <v>70.86</v>
      </c>
      <c r="H85" s="11">
        <v>1489</v>
      </c>
      <c r="I85" s="12">
        <v>105511</v>
      </c>
      <c r="J85" s="8">
        <f t="shared" si="2"/>
        <v>105511</v>
      </c>
      <c r="K85" s="8">
        <f t="shared" si="3"/>
        <v>0</v>
      </c>
      <c r="L85" s="6" t="s">
        <v>307</v>
      </c>
      <c r="M85" s="6">
        <v>9</v>
      </c>
      <c r="N85" s="6" t="s">
        <v>62</v>
      </c>
      <c r="O85" s="6" t="s">
        <v>251</v>
      </c>
      <c r="P85" s="6"/>
    </row>
    <row r="86" spans="1:16" ht="14" customHeight="1">
      <c r="A86" s="5" t="s">
        <v>332</v>
      </c>
      <c r="B86" s="5" t="s">
        <v>11</v>
      </c>
      <c r="C86" s="5"/>
      <c r="D86" s="5" t="s">
        <v>333</v>
      </c>
      <c r="E86" s="5" t="s">
        <v>334</v>
      </c>
      <c r="F86" s="5" t="s">
        <v>126</v>
      </c>
      <c r="G86" s="9">
        <v>3156.85</v>
      </c>
      <c r="H86" s="9">
        <v>842</v>
      </c>
      <c r="I86" s="10">
        <v>2658068</v>
      </c>
      <c r="J86" s="7">
        <f t="shared" si="2"/>
        <v>2658068</v>
      </c>
      <c r="K86" s="7">
        <f t="shared" si="3"/>
        <v>0</v>
      </c>
      <c r="L86" s="5" t="s">
        <v>335</v>
      </c>
      <c r="M86" s="5">
        <v>9</v>
      </c>
      <c r="N86" s="5" t="s">
        <v>62</v>
      </c>
      <c r="O86" s="5" t="s">
        <v>251</v>
      </c>
      <c r="P86" s="5"/>
    </row>
    <row r="87" spans="1:16" ht="14" customHeight="1">
      <c r="A87" s="6" t="s">
        <v>336</v>
      </c>
      <c r="B87" s="6" t="s">
        <v>11</v>
      </c>
      <c r="C87" s="6"/>
      <c r="D87" s="6" t="s">
        <v>337</v>
      </c>
      <c r="E87" s="6" t="s">
        <v>338</v>
      </c>
      <c r="F87" s="6" t="s">
        <v>126</v>
      </c>
      <c r="G87" s="11">
        <v>2680.78</v>
      </c>
      <c r="H87" s="11">
        <v>240</v>
      </c>
      <c r="I87" s="12">
        <v>643387</v>
      </c>
      <c r="J87" s="8">
        <f t="shared" si="2"/>
        <v>643387</v>
      </c>
      <c r="K87" s="8">
        <f t="shared" si="3"/>
        <v>0</v>
      </c>
      <c r="L87" s="6" t="s">
        <v>335</v>
      </c>
      <c r="M87" s="6">
        <v>9</v>
      </c>
      <c r="N87" s="6" t="s">
        <v>62</v>
      </c>
      <c r="O87" s="6" t="s">
        <v>251</v>
      </c>
      <c r="P87" s="6"/>
    </row>
    <row r="88" spans="1:16" ht="14" customHeight="1">
      <c r="A88" s="5" t="s">
        <v>339</v>
      </c>
      <c r="B88" s="5" t="s">
        <v>11</v>
      </c>
      <c r="C88" s="5"/>
      <c r="D88" s="5" t="s">
        <v>340</v>
      </c>
      <c r="E88" s="5" t="s">
        <v>341</v>
      </c>
      <c r="F88" s="5" t="s">
        <v>126</v>
      </c>
      <c r="G88" s="9">
        <v>176.54</v>
      </c>
      <c r="H88" s="9">
        <v>1715</v>
      </c>
      <c r="I88" s="10">
        <v>302766</v>
      </c>
      <c r="J88" s="7">
        <f t="shared" si="2"/>
        <v>302766</v>
      </c>
      <c r="K88" s="7">
        <f t="shared" si="3"/>
        <v>0</v>
      </c>
      <c r="L88" s="5" t="s">
        <v>289</v>
      </c>
      <c r="M88" s="5">
        <v>9</v>
      </c>
      <c r="N88" s="5" t="s">
        <v>62</v>
      </c>
      <c r="O88" s="5" t="s">
        <v>251</v>
      </c>
      <c r="P88" s="5"/>
    </row>
    <row r="89" spans="1:16" ht="14" customHeight="1">
      <c r="A89" s="6" t="s">
        <v>342</v>
      </c>
      <c r="B89" s="6" t="s">
        <v>11</v>
      </c>
      <c r="C89" s="6"/>
      <c r="D89" s="6" t="s">
        <v>343</v>
      </c>
      <c r="E89" s="6" t="s">
        <v>344</v>
      </c>
      <c r="F89" s="6" t="s">
        <v>126</v>
      </c>
      <c r="G89" s="11">
        <v>191.99</v>
      </c>
      <c r="H89" s="11">
        <v>1145</v>
      </c>
      <c r="I89" s="12">
        <v>219829</v>
      </c>
      <c r="J89" s="8">
        <f t="shared" si="2"/>
        <v>219829</v>
      </c>
      <c r="K89" s="8">
        <f t="shared" si="3"/>
        <v>0</v>
      </c>
      <c r="L89" s="6" t="s">
        <v>289</v>
      </c>
      <c r="M89" s="6">
        <v>9</v>
      </c>
      <c r="N89" s="6" t="s">
        <v>62</v>
      </c>
      <c r="O89" s="6" t="s">
        <v>251</v>
      </c>
      <c r="P89" s="6"/>
    </row>
    <row r="90" spans="1:16" ht="14" customHeight="1">
      <c r="A90" s="5" t="s">
        <v>345</v>
      </c>
      <c r="B90" s="5" t="s">
        <v>11</v>
      </c>
      <c r="C90" s="5"/>
      <c r="D90" s="5" t="s">
        <v>346</v>
      </c>
      <c r="E90" s="5" t="s">
        <v>347</v>
      </c>
      <c r="F90" s="5" t="s">
        <v>126</v>
      </c>
      <c r="G90" s="9">
        <v>513.66</v>
      </c>
      <c r="H90" s="9">
        <v>842</v>
      </c>
      <c r="I90" s="10">
        <v>432502</v>
      </c>
      <c r="J90" s="7">
        <f t="shared" si="2"/>
        <v>432502</v>
      </c>
      <c r="K90" s="7">
        <f t="shared" si="3"/>
        <v>0</v>
      </c>
      <c r="L90" s="5" t="s">
        <v>335</v>
      </c>
      <c r="M90" s="5">
        <v>9</v>
      </c>
      <c r="N90" s="5" t="s">
        <v>62</v>
      </c>
      <c r="O90" s="5" t="s">
        <v>251</v>
      </c>
      <c r="P90" s="5"/>
    </row>
    <row r="91" spans="1:16" ht="14" customHeight="1">
      <c r="A91" s="6" t="s">
        <v>348</v>
      </c>
      <c r="B91" s="6" t="s">
        <v>11</v>
      </c>
      <c r="C91" s="6"/>
      <c r="D91" s="6" t="s">
        <v>349</v>
      </c>
      <c r="E91" s="6" t="s">
        <v>350</v>
      </c>
      <c r="F91" s="6" t="s">
        <v>126</v>
      </c>
      <c r="G91" s="11">
        <v>958.42</v>
      </c>
      <c r="H91" s="11">
        <v>450</v>
      </c>
      <c r="I91" s="12">
        <v>431289</v>
      </c>
      <c r="J91" s="8">
        <f t="shared" si="2"/>
        <v>431289</v>
      </c>
      <c r="K91" s="8">
        <f t="shared" si="3"/>
        <v>0</v>
      </c>
      <c r="L91" s="6"/>
      <c r="M91" s="6">
        <v>9</v>
      </c>
      <c r="N91" s="6" t="s">
        <v>62</v>
      </c>
      <c r="O91" s="6" t="s">
        <v>251</v>
      </c>
      <c r="P91" s="6"/>
    </row>
    <row r="92" spans="1:16" ht="14" customHeight="1">
      <c r="A92" s="5" t="s">
        <v>351</v>
      </c>
      <c r="B92" s="5" t="s">
        <v>11</v>
      </c>
      <c r="C92" s="5"/>
      <c r="D92" s="5" t="s">
        <v>352</v>
      </c>
      <c r="E92" s="5" t="s">
        <v>353</v>
      </c>
      <c r="F92" s="5" t="s">
        <v>126</v>
      </c>
      <c r="G92" s="9">
        <v>119.17</v>
      </c>
      <c r="H92" s="9">
        <v>1410</v>
      </c>
      <c r="I92" s="10">
        <v>168030</v>
      </c>
      <c r="J92" s="7">
        <f t="shared" si="2"/>
        <v>168030</v>
      </c>
      <c r="K92" s="7">
        <f t="shared" si="3"/>
        <v>0</v>
      </c>
      <c r="L92" s="5" t="s">
        <v>354</v>
      </c>
      <c r="M92" s="5">
        <v>9</v>
      </c>
      <c r="N92" s="5" t="s">
        <v>62</v>
      </c>
      <c r="O92" s="5" t="s">
        <v>251</v>
      </c>
      <c r="P92" s="5"/>
    </row>
    <row r="93" spans="1:16" ht="14" customHeight="1">
      <c r="A93" s="6" t="s">
        <v>355</v>
      </c>
      <c r="B93" s="6" t="s">
        <v>11</v>
      </c>
      <c r="C93" s="6"/>
      <c r="D93" s="6" t="s">
        <v>356</v>
      </c>
      <c r="E93" s="6" t="s">
        <v>357</v>
      </c>
      <c r="F93" s="6" t="s">
        <v>211</v>
      </c>
      <c r="G93" s="11">
        <v>109.9</v>
      </c>
      <c r="H93" s="11">
        <v>980</v>
      </c>
      <c r="I93" s="12">
        <v>107702</v>
      </c>
      <c r="J93" s="8">
        <f t="shared" si="2"/>
        <v>107702</v>
      </c>
      <c r="K93" s="8">
        <f t="shared" si="3"/>
        <v>0</v>
      </c>
      <c r="L93" s="6"/>
      <c r="M93" s="6">
        <v>10</v>
      </c>
      <c r="N93" s="6" t="s">
        <v>62</v>
      </c>
      <c r="O93" s="6" t="s">
        <v>251</v>
      </c>
      <c r="P93" s="6"/>
    </row>
    <row r="94" spans="1:16" ht="14" customHeight="1">
      <c r="A94" s="5" t="s">
        <v>358</v>
      </c>
      <c r="B94" s="5" t="s">
        <v>11</v>
      </c>
      <c r="C94" s="5"/>
      <c r="D94" s="5" t="s">
        <v>359</v>
      </c>
      <c r="E94" s="5" t="s">
        <v>360</v>
      </c>
      <c r="F94" s="5" t="s">
        <v>126</v>
      </c>
      <c r="G94" s="9">
        <v>26.57</v>
      </c>
      <c r="H94" s="9">
        <v>1480</v>
      </c>
      <c r="I94" s="10">
        <v>39324</v>
      </c>
      <c r="J94" s="7">
        <f t="shared" si="2"/>
        <v>39324</v>
      </c>
      <c r="K94" s="7">
        <f t="shared" si="3"/>
        <v>0</v>
      </c>
      <c r="L94" s="5"/>
      <c r="M94" s="5">
        <v>10</v>
      </c>
      <c r="N94" s="5" t="s">
        <v>62</v>
      </c>
      <c r="O94" s="5" t="s">
        <v>251</v>
      </c>
      <c r="P94" s="5"/>
    </row>
    <row r="95" spans="1:16" ht="14" customHeight="1">
      <c r="A95" s="6" t="s">
        <v>361</v>
      </c>
      <c r="B95" s="6" t="s">
        <v>11</v>
      </c>
      <c r="C95" s="6"/>
      <c r="D95" s="6" t="s">
        <v>362</v>
      </c>
      <c r="E95" s="6" t="s">
        <v>363</v>
      </c>
      <c r="F95" s="6" t="s">
        <v>61</v>
      </c>
      <c r="G95" s="11">
        <v>1</v>
      </c>
      <c r="H95" s="11">
        <v>34563</v>
      </c>
      <c r="I95" s="12">
        <v>34563</v>
      </c>
      <c r="J95" s="8">
        <f t="shared" si="2"/>
        <v>34563</v>
      </c>
      <c r="K95" s="8">
        <f t="shared" si="3"/>
        <v>0</v>
      </c>
      <c r="L95" s="6"/>
      <c r="M95" s="6">
        <v>10</v>
      </c>
      <c r="N95" s="6" t="s">
        <v>62</v>
      </c>
      <c r="O95" s="6" t="s">
        <v>251</v>
      </c>
      <c r="P95" s="6"/>
    </row>
    <row r="96" spans="1:16" ht="14" customHeight="1">
      <c r="A96" s="5" t="s">
        <v>364</v>
      </c>
      <c r="B96" s="5" t="s">
        <v>11</v>
      </c>
      <c r="C96" s="5"/>
      <c r="D96" s="5" t="s">
        <v>365</v>
      </c>
      <c r="E96" s="5" t="s">
        <v>366</v>
      </c>
      <c r="F96" s="5" t="s">
        <v>126</v>
      </c>
      <c r="G96" s="9">
        <v>248.23</v>
      </c>
      <c r="H96" s="9">
        <v>308</v>
      </c>
      <c r="I96" s="10">
        <v>76455</v>
      </c>
      <c r="J96" s="7">
        <f t="shared" si="2"/>
        <v>76455</v>
      </c>
      <c r="K96" s="7">
        <f t="shared" si="3"/>
        <v>0</v>
      </c>
      <c r="L96" s="5" t="s">
        <v>367</v>
      </c>
      <c r="M96" s="5">
        <v>10</v>
      </c>
      <c r="N96" s="5" t="s">
        <v>62</v>
      </c>
      <c r="O96" s="5" t="s">
        <v>251</v>
      </c>
      <c r="P96" s="5"/>
    </row>
    <row r="97" spans="1:16" ht="14" customHeight="1">
      <c r="A97" s="6" t="s">
        <v>368</v>
      </c>
      <c r="B97" s="6" t="s">
        <v>11</v>
      </c>
      <c r="C97" s="6"/>
      <c r="D97" s="6" t="s">
        <v>369</v>
      </c>
      <c r="E97" s="6" t="s">
        <v>370</v>
      </c>
      <c r="F97" s="6" t="s">
        <v>211</v>
      </c>
      <c r="G97" s="11">
        <v>67.47</v>
      </c>
      <c r="H97" s="11">
        <v>680</v>
      </c>
      <c r="I97" s="12">
        <v>45880</v>
      </c>
      <c r="J97" s="8">
        <f t="shared" si="2"/>
        <v>45880</v>
      </c>
      <c r="K97" s="8">
        <f t="shared" si="3"/>
        <v>0</v>
      </c>
      <c r="L97" s="6" t="s">
        <v>371</v>
      </c>
      <c r="M97" s="6">
        <v>10</v>
      </c>
      <c r="N97" s="6" t="s">
        <v>62</v>
      </c>
      <c r="O97" s="6" t="s">
        <v>251</v>
      </c>
      <c r="P97" s="6"/>
    </row>
    <row r="98" spans="1:16" ht="14" customHeight="1">
      <c r="A98" s="5" t="s">
        <v>372</v>
      </c>
      <c r="B98" s="5" t="s">
        <v>11</v>
      </c>
      <c r="C98" s="5"/>
      <c r="D98" s="5" t="s">
        <v>373</v>
      </c>
      <c r="E98" s="5" t="s">
        <v>374</v>
      </c>
      <c r="F98" s="5" t="s">
        <v>126</v>
      </c>
      <c r="G98" s="9">
        <v>41.41</v>
      </c>
      <c r="H98" s="9">
        <v>308</v>
      </c>
      <c r="I98" s="10">
        <v>12754</v>
      </c>
      <c r="J98" s="7">
        <f t="shared" si="2"/>
        <v>12754</v>
      </c>
      <c r="K98" s="7">
        <f t="shared" si="3"/>
        <v>0</v>
      </c>
      <c r="L98" s="5" t="s">
        <v>375</v>
      </c>
      <c r="M98" s="5">
        <v>10</v>
      </c>
      <c r="N98" s="5" t="s">
        <v>62</v>
      </c>
      <c r="O98" s="5" t="s">
        <v>251</v>
      </c>
      <c r="P98" s="5"/>
    </row>
    <row r="99" spans="1:16" ht="14" customHeight="1">
      <c r="A99" s="6" t="s">
        <v>376</v>
      </c>
      <c r="B99" s="6" t="s">
        <v>11</v>
      </c>
      <c r="C99" s="6"/>
      <c r="D99" s="6" t="s">
        <v>377</v>
      </c>
      <c r="E99" s="6" t="s">
        <v>378</v>
      </c>
      <c r="F99" s="6" t="s">
        <v>211</v>
      </c>
      <c r="G99" s="11">
        <v>49.85</v>
      </c>
      <c r="H99" s="11">
        <v>380</v>
      </c>
      <c r="I99" s="12">
        <v>18943</v>
      </c>
      <c r="J99" s="8">
        <f t="shared" si="2"/>
        <v>18943</v>
      </c>
      <c r="K99" s="8">
        <f t="shared" si="3"/>
        <v>0</v>
      </c>
      <c r="L99" s="6" t="s">
        <v>379</v>
      </c>
      <c r="M99" s="6">
        <v>10</v>
      </c>
      <c r="N99" s="6" t="s">
        <v>62</v>
      </c>
      <c r="O99" s="6" t="s">
        <v>251</v>
      </c>
      <c r="P99" s="6"/>
    </row>
    <row r="100" spans="1:16" ht="14" customHeight="1">
      <c r="A100" s="5" t="s">
        <v>380</v>
      </c>
      <c r="B100" s="5" t="s">
        <v>11</v>
      </c>
      <c r="C100" s="5"/>
      <c r="D100" s="5" t="s">
        <v>381</v>
      </c>
      <c r="E100" s="5" t="s">
        <v>382</v>
      </c>
      <c r="F100" s="5" t="s">
        <v>126</v>
      </c>
      <c r="G100" s="9">
        <v>1686.01</v>
      </c>
      <c r="H100" s="9">
        <v>1800</v>
      </c>
      <c r="I100" s="10">
        <v>3034818</v>
      </c>
      <c r="J100" s="7">
        <f t="shared" si="2"/>
        <v>3034818</v>
      </c>
      <c r="K100" s="7">
        <f t="shared" si="3"/>
        <v>0</v>
      </c>
      <c r="L100" s="5" t="s">
        <v>383</v>
      </c>
      <c r="M100" s="5">
        <v>10</v>
      </c>
      <c r="N100" s="5" t="s">
        <v>62</v>
      </c>
      <c r="O100" s="5" t="s">
        <v>251</v>
      </c>
      <c r="P100" s="5"/>
    </row>
    <row r="101" spans="1:16" ht="14" customHeight="1">
      <c r="A101" s="6" t="s">
        <v>384</v>
      </c>
      <c r="B101" s="6" t="s">
        <v>11</v>
      </c>
      <c r="C101" s="6"/>
      <c r="D101" s="6" t="s">
        <v>385</v>
      </c>
      <c r="E101" s="6" t="s">
        <v>386</v>
      </c>
      <c r="F101" s="6" t="s">
        <v>126</v>
      </c>
      <c r="G101" s="11">
        <v>318.79000000000002</v>
      </c>
      <c r="H101" s="11">
        <v>1800</v>
      </c>
      <c r="I101" s="12">
        <v>573822</v>
      </c>
      <c r="J101" s="8">
        <f t="shared" si="2"/>
        <v>573822</v>
      </c>
      <c r="K101" s="8">
        <f t="shared" si="3"/>
        <v>0</v>
      </c>
      <c r="L101" s="6" t="s">
        <v>383</v>
      </c>
      <c r="M101" s="6">
        <v>10</v>
      </c>
      <c r="N101" s="6" t="s">
        <v>62</v>
      </c>
      <c r="O101" s="6" t="s">
        <v>251</v>
      </c>
      <c r="P101" s="6"/>
    </row>
    <row r="102" spans="1:16" ht="14" customHeight="1">
      <c r="A102" s="5" t="s">
        <v>387</v>
      </c>
      <c r="B102" s="5" t="s">
        <v>11</v>
      </c>
      <c r="C102" s="5"/>
      <c r="D102" s="5" t="s">
        <v>388</v>
      </c>
      <c r="E102" s="5" t="s">
        <v>389</v>
      </c>
      <c r="F102" s="5" t="s">
        <v>126</v>
      </c>
      <c r="G102" s="9">
        <v>217.12</v>
      </c>
      <c r="H102" s="9">
        <v>308</v>
      </c>
      <c r="I102" s="10">
        <v>66873</v>
      </c>
      <c r="J102" s="7">
        <f t="shared" si="2"/>
        <v>66873</v>
      </c>
      <c r="K102" s="7">
        <f t="shared" si="3"/>
        <v>0</v>
      </c>
      <c r="L102" s="5" t="s">
        <v>367</v>
      </c>
      <c r="M102" s="5">
        <v>10</v>
      </c>
      <c r="N102" s="5" t="s">
        <v>62</v>
      </c>
      <c r="O102" s="5" t="s">
        <v>251</v>
      </c>
      <c r="P102" s="5"/>
    </row>
    <row r="103" spans="1:16" ht="14" customHeight="1">
      <c r="A103" s="6" t="s">
        <v>390</v>
      </c>
      <c r="B103" s="6" t="s">
        <v>11</v>
      </c>
      <c r="C103" s="6"/>
      <c r="D103" s="6" t="s">
        <v>391</v>
      </c>
      <c r="E103" s="6" t="s">
        <v>392</v>
      </c>
      <c r="F103" s="6" t="s">
        <v>126</v>
      </c>
      <c r="G103" s="11">
        <v>121.64</v>
      </c>
      <c r="H103" s="11">
        <v>682</v>
      </c>
      <c r="I103" s="12">
        <v>82958</v>
      </c>
      <c r="J103" s="8">
        <f t="shared" si="2"/>
        <v>82958</v>
      </c>
      <c r="K103" s="8">
        <f t="shared" si="3"/>
        <v>0</v>
      </c>
      <c r="L103" s="6" t="s">
        <v>393</v>
      </c>
      <c r="M103" s="6">
        <v>10</v>
      </c>
      <c r="N103" s="6" t="s">
        <v>62</v>
      </c>
      <c r="O103" s="6" t="s">
        <v>251</v>
      </c>
      <c r="P103" s="6"/>
    </row>
    <row r="104" spans="1:16" ht="14" customHeight="1">
      <c r="A104" s="5" t="s">
        <v>394</v>
      </c>
      <c r="B104" s="5" t="s">
        <v>11</v>
      </c>
      <c r="C104" s="5"/>
      <c r="D104" s="5" t="s">
        <v>395</v>
      </c>
      <c r="E104" s="5" t="s">
        <v>396</v>
      </c>
      <c r="F104" s="5" t="s">
        <v>61</v>
      </c>
      <c r="G104" s="9">
        <v>1</v>
      </c>
      <c r="H104" s="9">
        <v>26000</v>
      </c>
      <c r="I104" s="10">
        <v>26000</v>
      </c>
      <c r="J104" s="7">
        <f t="shared" si="2"/>
        <v>26000</v>
      </c>
      <c r="K104" s="7">
        <f t="shared" si="3"/>
        <v>0</v>
      </c>
      <c r="L104" s="5"/>
      <c r="M104" s="5">
        <v>10</v>
      </c>
      <c r="N104" s="5" t="s">
        <v>62</v>
      </c>
      <c r="O104" s="5" t="s">
        <v>251</v>
      </c>
      <c r="P104" s="5"/>
    </row>
    <row r="105" spans="1:16" ht="14" customHeight="1">
      <c r="A105" s="6" t="s">
        <v>397</v>
      </c>
      <c r="B105" s="6" t="s">
        <v>12</v>
      </c>
      <c r="C105" s="6"/>
      <c r="D105" s="6" t="s">
        <v>398</v>
      </c>
      <c r="E105" s="6" t="s">
        <v>399</v>
      </c>
      <c r="F105" s="6" t="s">
        <v>126</v>
      </c>
      <c r="G105" s="11">
        <v>1988.62</v>
      </c>
      <c r="H105" s="11">
        <v>1631</v>
      </c>
      <c r="I105" s="12">
        <v>3243439</v>
      </c>
      <c r="J105" s="8">
        <f t="shared" si="2"/>
        <v>3243439</v>
      </c>
      <c r="K105" s="8">
        <f t="shared" si="3"/>
        <v>0</v>
      </c>
      <c r="L105" s="6" t="s">
        <v>400</v>
      </c>
      <c r="M105" s="6">
        <v>11</v>
      </c>
      <c r="N105" s="6" t="s">
        <v>62</v>
      </c>
      <c r="O105" s="6" t="s">
        <v>251</v>
      </c>
      <c r="P105" s="6"/>
    </row>
    <row r="106" spans="1:16" ht="14" customHeight="1">
      <c r="A106" s="5" t="s">
        <v>401</v>
      </c>
      <c r="B106" s="5" t="s">
        <v>12</v>
      </c>
      <c r="C106" s="5"/>
      <c r="D106" s="5" t="s">
        <v>402</v>
      </c>
      <c r="E106" s="5" t="s">
        <v>403</v>
      </c>
      <c r="F106" s="5" t="s">
        <v>126</v>
      </c>
      <c r="G106" s="9">
        <v>26.06</v>
      </c>
      <c r="H106" s="9">
        <v>4895</v>
      </c>
      <c r="I106" s="10">
        <v>127564</v>
      </c>
      <c r="J106" s="7">
        <f t="shared" si="2"/>
        <v>127564</v>
      </c>
      <c r="K106" s="7">
        <f t="shared" si="3"/>
        <v>0</v>
      </c>
      <c r="L106" s="5"/>
      <c r="M106" s="5">
        <v>11</v>
      </c>
      <c r="N106" s="5" t="s">
        <v>62</v>
      </c>
      <c r="O106" s="5" t="s">
        <v>251</v>
      </c>
      <c r="P106" s="5"/>
    </row>
    <row r="107" spans="1:16" ht="14" customHeight="1">
      <c r="A107" s="6" t="s">
        <v>404</v>
      </c>
      <c r="B107" s="6" t="s">
        <v>12</v>
      </c>
      <c r="C107" s="6"/>
      <c r="D107" s="6" t="s">
        <v>405</v>
      </c>
      <c r="E107" s="6" t="s">
        <v>406</v>
      </c>
      <c r="F107" s="6" t="s">
        <v>126</v>
      </c>
      <c r="G107" s="11">
        <v>289.12</v>
      </c>
      <c r="H107" s="11">
        <v>1910</v>
      </c>
      <c r="I107" s="12">
        <v>552219</v>
      </c>
      <c r="J107" s="8">
        <f t="shared" si="2"/>
        <v>552219</v>
      </c>
      <c r="K107" s="8">
        <f t="shared" si="3"/>
        <v>0</v>
      </c>
      <c r="L107" s="6"/>
      <c r="M107" s="6">
        <v>11</v>
      </c>
      <c r="N107" s="6" t="s">
        <v>62</v>
      </c>
      <c r="O107" s="6" t="s">
        <v>251</v>
      </c>
      <c r="P107" s="6"/>
    </row>
    <row r="108" spans="1:16" ht="14" customHeight="1">
      <c r="A108" s="5" t="s">
        <v>407</v>
      </c>
      <c r="B108" s="5" t="s">
        <v>12</v>
      </c>
      <c r="C108" s="5"/>
      <c r="D108" s="5" t="s">
        <v>408</v>
      </c>
      <c r="E108" s="5" t="s">
        <v>409</v>
      </c>
      <c r="F108" s="5" t="s">
        <v>126</v>
      </c>
      <c r="G108" s="9">
        <v>660.54</v>
      </c>
      <c r="H108" s="9">
        <v>1480</v>
      </c>
      <c r="I108" s="10">
        <v>977599</v>
      </c>
      <c r="J108" s="7">
        <f t="shared" si="2"/>
        <v>977599</v>
      </c>
      <c r="K108" s="7">
        <f t="shared" si="3"/>
        <v>0</v>
      </c>
      <c r="L108" s="5"/>
      <c r="M108" s="5">
        <v>11</v>
      </c>
      <c r="N108" s="5" t="s">
        <v>62</v>
      </c>
      <c r="O108" s="5" t="s">
        <v>251</v>
      </c>
      <c r="P108" s="5"/>
    </row>
    <row r="109" spans="1:16" ht="14" customHeight="1">
      <c r="A109" s="6" t="s">
        <v>410</v>
      </c>
      <c r="B109" s="6" t="s">
        <v>12</v>
      </c>
      <c r="C109" s="6"/>
      <c r="D109" s="6" t="s">
        <v>411</v>
      </c>
      <c r="E109" s="6" t="s">
        <v>412</v>
      </c>
      <c r="F109" s="6" t="s">
        <v>211</v>
      </c>
      <c r="G109" s="11">
        <v>320.95</v>
      </c>
      <c r="H109" s="11">
        <v>350</v>
      </c>
      <c r="I109" s="12">
        <v>112333</v>
      </c>
      <c r="J109" s="8">
        <f t="shared" si="2"/>
        <v>112333</v>
      </c>
      <c r="K109" s="8">
        <f t="shared" si="3"/>
        <v>0</v>
      </c>
      <c r="L109" s="6"/>
      <c r="M109" s="6">
        <v>11</v>
      </c>
      <c r="N109" s="6" t="s">
        <v>62</v>
      </c>
      <c r="O109" s="6" t="s">
        <v>251</v>
      </c>
      <c r="P109" s="6"/>
    </row>
    <row r="110" spans="1:16" ht="14" customHeight="1">
      <c r="A110" s="5" t="s">
        <v>413</v>
      </c>
      <c r="B110" s="5" t="s">
        <v>12</v>
      </c>
      <c r="C110" s="5"/>
      <c r="D110" s="5" t="s">
        <v>414</v>
      </c>
      <c r="E110" s="5" t="s">
        <v>415</v>
      </c>
      <c r="F110" s="5" t="s">
        <v>126</v>
      </c>
      <c r="G110" s="9">
        <v>1283.17</v>
      </c>
      <c r="H110" s="9">
        <v>930</v>
      </c>
      <c r="I110" s="10">
        <v>1193348</v>
      </c>
      <c r="J110" s="7">
        <f t="shared" si="2"/>
        <v>1193348</v>
      </c>
      <c r="K110" s="7">
        <f t="shared" si="3"/>
        <v>0</v>
      </c>
      <c r="L110" s="5" t="s">
        <v>416</v>
      </c>
      <c r="M110" s="5">
        <v>11</v>
      </c>
      <c r="N110" s="5" t="s">
        <v>62</v>
      </c>
      <c r="O110" s="5" t="s">
        <v>251</v>
      </c>
      <c r="P110" s="5"/>
    </row>
    <row r="111" spans="1:16" ht="14" customHeight="1">
      <c r="A111" s="6" t="s">
        <v>417</v>
      </c>
      <c r="B111" s="6" t="s">
        <v>12</v>
      </c>
      <c r="C111" s="6"/>
      <c r="D111" s="6" t="s">
        <v>418</v>
      </c>
      <c r="E111" s="6" t="s">
        <v>419</v>
      </c>
      <c r="F111" s="6" t="s">
        <v>211</v>
      </c>
      <c r="G111" s="11">
        <v>11.54</v>
      </c>
      <c r="H111" s="11">
        <v>350</v>
      </c>
      <c r="I111" s="12">
        <v>4039</v>
      </c>
      <c r="J111" s="8">
        <f t="shared" si="2"/>
        <v>4039</v>
      </c>
      <c r="K111" s="8">
        <f t="shared" si="3"/>
        <v>0</v>
      </c>
      <c r="L111" s="6"/>
      <c r="M111" s="6">
        <v>11</v>
      </c>
      <c r="N111" s="6" t="s">
        <v>62</v>
      </c>
      <c r="O111" s="6" t="s">
        <v>251</v>
      </c>
      <c r="P111" s="6"/>
    </row>
    <row r="112" spans="1:16" ht="14" customHeight="1">
      <c r="A112" s="5" t="s">
        <v>420</v>
      </c>
      <c r="B112" s="5" t="s">
        <v>12</v>
      </c>
      <c r="C112" s="5"/>
      <c r="D112" s="5" t="s">
        <v>421</v>
      </c>
      <c r="E112" s="5" t="s">
        <v>422</v>
      </c>
      <c r="F112" s="5" t="s">
        <v>126</v>
      </c>
      <c r="G112" s="9">
        <v>406.44</v>
      </c>
      <c r="H112" s="9">
        <v>650</v>
      </c>
      <c r="I112" s="10">
        <v>264186</v>
      </c>
      <c r="J112" s="7">
        <f t="shared" si="2"/>
        <v>264186</v>
      </c>
      <c r="K112" s="7">
        <f t="shared" si="3"/>
        <v>0</v>
      </c>
      <c r="L112" s="5"/>
      <c r="M112" s="5">
        <v>11</v>
      </c>
      <c r="N112" s="5" t="s">
        <v>62</v>
      </c>
      <c r="O112" s="5" t="s">
        <v>251</v>
      </c>
      <c r="P112" s="5"/>
    </row>
    <row r="113" spans="1:16" ht="14" customHeight="1">
      <c r="A113" s="6" t="s">
        <v>423</v>
      </c>
      <c r="B113" s="6" t="s">
        <v>12</v>
      </c>
      <c r="C113" s="6"/>
      <c r="D113" s="6" t="s">
        <v>424</v>
      </c>
      <c r="E113" s="6" t="s">
        <v>425</v>
      </c>
      <c r="F113" s="6" t="s">
        <v>126</v>
      </c>
      <c r="G113" s="11">
        <v>88.79</v>
      </c>
      <c r="H113" s="11">
        <v>1629</v>
      </c>
      <c r="I113" s="12">
        <v>144639</v>
      </c>
      <c r="J113" s="8">
        <f t="shared" si="2"/>
        <v>144639</v>
      </c>
      <c r="K113" s="8">
        <f t="shared" si="3"/>
        <v>0</v>
      </c>
      <c r="L113" s="6"/>
      <c r="M113" s="6">
        <v>11</v>
      </c>
      <c r="N113" s="6" t="s">
        <v>62</v>
      </c>
      <c r="O113" s="6" t="s">
        <v>251</v>
      </c>
      <c r="P113" s="6"/>
    </row>
    <row r="114" spans="1:16" ht="14" customHeight="1">
      <c r="A114" s="5" t="s">
        <v>426</v>
      </c>
      <c r="B114" s="5" t="s">
        <v>12</v>
      </c>
      <c r="C114" s="5"/>
      <c r="D114" s="5" t="s">
        <v>427</v>
      </c>
      <c r="E114" s="5" t="s">
        <v>428</v>
      </c>
      <c r="F114" s="5" t="s">
        <v>126</v>
      </c>
      <c r="G114" s="9">
        <v>358.44</v>
      </c>
      <c r="H114" s="9">
        <v>8000</v>
      </c>
      <c r="I114" s="10">
        <v>2867520</v>
      </c>
      <c r="J114" s="7">
        <f t="shared" si="2"/>
        <v>2867520</v>
      </c>
      <c r="K114" s="7">
        <f t="shared" si="3"/>
        <v>0</v>
      </c>
      <c r="L114" s="5" t="s">
        <v>429</v>
      </c>
      <c r="M114" s="5">
        <v>11</v>
      </c>
      <c r="N114" s="5" t="s">
        <v>62</v>
      </c>
      <c r="O114" s="5" t="s">
        <v>251</v>
      </c>
      <c r="P114" s="5"/>
    </row>
    <row r="115" spans="1:16" ht="14" customHeight="1">
      <c r="A115" s="6" t="s">
        <v>430</v>
      </c>
      <c r="B115" s="6" t="s">
        <v>12</v>
      </c>
      <c r="C115" s="6"/>
      <c r="D115" s="6" t="s">
        <v>431</v>
      </c>
      <c r="E115" s="6" t="s">
        <v>432</v>
      </c>
      <c r="F115" s="6" t="s">
        <v>137</v>
      </c>
      <c r="G115" s="11">
        <v>1</v>
      </c>
      <c r="H115" s="11">
        <v>200000</v>
      </c>
      <c r="I115" s="12">
        <v>200000</v>
      </c>
      <c r="J115" s="8">
        <f t="shared" si="2"/>
        <v>200000</v>
      </c>
      <c r="K115" s="8">
        <f t="shared" si="3"/>
        <v>0</v>
      </c>
      <c r="L115" s="6"/>
      <c r="M115" s="6">
        <v>11</v>
      </c>
      <c r="N115" s="6" t="s">
        <v>62</v>
      </c>
      <c r="O115" s="6" t="s">
        <v>251</v>
      </c>
      <c r="P115" s="6"/>
    </row>
    <row r="116" spans="1:16" ht="14" customHeight="1">
      <c r="A116" s="5" t="s">
        <v>433</v>
      </c>
      <c r="B116" s="5" t="s">
        <v>12</v>
      </c>
      <c r="C116" s="5"/>
      <c r="D116" s="5" t="s">
        <v>434</v>
      </c>
      <c r="E116" s="5" t="s">
        <v>435</v>
      </c>
      <c r="F116" s="5" t="s">
        <v>126</v>
      </c>
      <c r="G116" s="9">
        <v>68.5</v>
      </c>
      <c r="H116" s="9">
        <v>970</v>
      </c>
      <c r="I116" s="10">
        <v>66445</v>
      </c>
      <c r="J116" s="7">
        <f t="shared" si="2"/>
        <v>66445</v>
      </c>
      <c r="K116" s="7">
        <f t="shared" si="3"/>
        <v>0</v>
      </c>
      <c r="L116" s="5" t="s">
        <v>436</v>
      </c>
      <c r="M116" s="5">
        <v>11</v>
      </c>
      <c r="N116" s="5" t="s">
        <v>62</v>
      </c>
      <c r="O116" s="5" t="s">
        <v>251</v>
      </c>
      <c r="P116" s="5"/>
    </row>
    <row r="117" spans="1:16" ht="14" customHeight="1">
      <c r="A117" s="6" t="s">
        <v>437</v>
      </c>
      <c r="B117" s="6" t="s">
        <v>12</v>
      </c>
      <c r="C117" s="6"/>
      <c r="D117" s="6" t="s">
        <v>438</v>
      </c>
      <c r="E117" s="6" t="s">
        <v>439</v>
      </c>
      <c r="F117" s="6" t="s">
        <v>126</v>
      </c>
      <c r="G117" s="11">
        <v>115.15</v>
      </c>
      <c r="H117" s="11">
        <v>297</v>
      </c>
      <c r="I117" s="12">
        <v>34200</v>
      </c>
      <c r="J117" s="8">
        <f t="shared" si="2"/>
        <v>34200</v>
      </c>
      <c r="K117" s="8">
        <f t="shared" si="3"/>
        <v>0</v>
      </c>
      <c r="L117" s="6" t="s">
        <v>367</v>
      </c>
      <c r="M117" s="6">
        <v>11</v>
      </c>
      <c r="N117" s="6" t="s">
        <v>62</v>
      </c>
      <c r="O117" s="6" t="s">
        <v>251</v>
      </c>
      <c r="P117" s="6"/>
    </row>
    <row r="118" spans="1:16" ht="14" customHeight="1">
      <c r="A118" s="5" t="s">
        <v>440</v>
      </c>
      <c r="B118" s="5" t="s">
        <v>12</v>
      </c>
      <c r="C118" s="5"/>
      <c r="D118" s="5" t="s">
        <v>441</v>
      </c>
      <c r="E118" s="5" t="s">
        <v>442</v>
      </c>
      <c r="F118" s="5" t="s">
        <v>126</v>
      </c>
      <c r="G118" s="9">
        <v>1988.62</v>
      </c>
      <c r="H118" s="9">
        <v>297</v>
      </c>
      <c r="I118" s="10">
        <v>590620</v>
      </c>
      <c r="J118" s="7">
        <f t="shared" si="2"/>
        <v>590620</v>
      </c>
      <c r="K118" s="7">
        <f t="shared" si="3"/>
        <v>0</v>
      </c>
      <c r="L118" s="5" t="s">
        <v>367</v>
      </c>
      <c r="M118" s="5">
        <v>11</v>
      </c>
      <c r="N118" s="5" t="s">
        <v>62</v>
      </c>
      <c r="O118" s="5" t="s">
        <v>251</v>
      </c>
      <c r="P118" s="5"/>
    </row>
    <row r="119" spans="1:16" ht="14" customHeight="1">
      <c r="A119" s="6" t="s">
        <v>443</v>
      </c>
      <c r="B119" s="6" t="s">
        <v>12</v>
      </c>
      <c r="C119" s="6"/>
      <c r="D119" s="6" t="s">
        <v>444</v>
      </c>
      <c r="E119" s="6" t="s">
        <v>445</v>
      </c>
      <c r="F119" s="6" t="s">
        <v>126</v>
      </c>
      <c r="G119" s="11">
        <v>37.700000000000003</v>
      </c>
      <c r="H119" s="11">
        <v>297</v>
      </c>
      <c r="I119" s="12">
        <v>11197</v>
      </c>
      <c r="J119" s="8">
        <f t="shared" si="2"/>
        <v>11197</v>
      </c>
      <c r="K119" s="8">
        <f t="shared" si="3"/>
        <v>0</v>
      </c>
      <c r="L119" s="6" t="s">
        <v>367</v>
      </c>
      <c r="M119" s="6">
        <v>11</v>
      </c>
      <c r="N119" s="6" t="s">
        <v>62</v>
      </c>
      <c r="O119" s="6" t="s">
        <v>251</v>
      </c>
      <c r="P119" s="6"/>
    </row>
    <row r="120" spans="1:16" ht="14" customHeight="1">
      <c r="A120" s="5" t="s">
        <v>446</v>
      </c>
      <c r="B120" s="5" t="s">
        <v>12</v>
      </c>
      <c r="C120" s="5"/>
      <c r="D120" s="5" t="s">
        <v>447</v>
      </c>
      <c r="E120" s="5" t="s">
        <v>448</v>
      </c>
      <c r="F120" s="5" t="s">
        <v>449</v>
      </c>
      <c r="G120" s="9">
        <v>14</v>
      </c>
      <c r="H120" s="9">
        <v>35000</v>
      </c>
      <c r="I120" s="10">
        <v>490000</v>
      </c>
      <c r="J120" s="7">
        <f t="shared" si="2"/>
        <v>490000</v>
      </c>
      <c r="K120" s="7">
        <f t="shared" si="3"/>
        <v>0</v>
      </c>
      <c r="L120" s="5" t="s">
        <v>429</v>
      </c>
      <c r="M120" s="5">
        <v>11</v>
      </c>
      <c r="N120" s="5" t="s">
        <v>62</v>
      </c>
      <c r="O120" s="5" t="s">
        <v>251</v>
      </c>
      <c r="P120" s="5"/>
    </row>
    <row r="121" spans="1:16" ht="14" customHeight="1">
      <c r="A121" s="6" t="s">
        <v>450</v>
      </c>
      <c r="B121" s="6" t="s">
        <v>12</v>
      </c>
      <c r="C121" s="6"/>
      <c r="D121" s="6" t="s">
        <v>451</v>
      </c>
      <c r="E121" s="6" t="s">
        <v>452</v>
      </c>
      <c r="F121" s="6" t="s">
        <v>449</v>
      </c>
      <c r="G121" s="11">
        <v>13</v>
      </c>
      <c r="H121" s="11">
        <v>54000</v>
      </c>
      <c r="I121" s="12">
        <v>702000</v>
      </c>
      <c r="J121" s="8">
        <f t="shared" si="2"/>
        <v>702000</v>
      </c>
      <c r="K121" s="8">
        <f t="shared" si="3"/>
        <v>0</v>
      </c>
      <c r="L121" s="6" t="s">
        <v>429</v>
      </c>
      <c r="M121" s="6">
        <v>12</v>
      </c>
      <c r="N121" s="6" t="s">
        <v>62</v>
      </c>
      <c r="O121" s="6" t="s">
        <v>251</v>
      </c>
      <c r="P121" s="6"/>
    </row>
    <row r="122" spans="1:16" ht="14" customHeight="1">
      <c r="A122" s="5" t="s">
        <v>453</v>
      </c>
      <c r="B122" s="5" t="s">
        <v>12</v>
      </c>
      <c r="C122" s="5"/>
      <c r="D122" s="5" t="s">
        <v>454</v>
      </c>
      <c r="E122" s="5" t="s">
        <v>455</v>
      </c>
      <c r="F122" s="5" t="s">
        <v>211</v>
      </c>
      <c r="G122" s="9">
        <v>35.43</v>
      </c>
      <c r="H122" s="9">
        <v>350</v>
      </c>
      <c r="I122" s="10">
        <v>12401</v>
      </c>
      <c r="J122" s="7">
        <f t="shared" si="2"/>
        <v>12401</v>
      </c>
      <c r="K122" s="7">
        <f t="shared" si="3"/>
        <v>0</v>
      </c>
      <c r="L122" s="5"/>
      <c r="M122" s="5">
        <v>12</v>
      </c>
      <c r="N122" s="5" t="s">
        <v>62</v>
      </c>
      <c r="O122" s="5" t="s">
        <v>251</v>
      </c>
      <c r="P122" s="5"/>
    </row>
    <row r="123" spans="1:16" ht="14" customHeight="1">
      <c r="A123" s="6" t="s">
        <v>456</v>
      </c>
      <c r="B123" s="6" t="s">
        <v>12</v>
      </c>
      <c r="C123" s="6"/>
      <c r="D123" s="6" t="s">
        <v>457</v>
      </c>
      <c r="E123" s="6" t="s">
        <v>458</v>
      </c>
      <c r="F123" s="6" t="s">
        <v>211</v>
      </c>
      <c r="G123" s="11">
        <v>1207.3699999999999</v>
      </c>
      <c r="H123" s="11">
        <v>240</v>
      </c>
      <c r="I123" s="12">
        <v>289769</v>
      </c>
      <c r="J123" s="8">
        <f t="shared" si="2"/>
        <v>289769</v>
      </c>
      <c r="K123" s="8">
        <f t="shared" si="3"/>
        <v>0</v>
      </c>
      <c r="L123" s="6" t="s">
        <v>367</v>
      </c>
      <c r="M123" s="6">
        <v>12</v>
      </c>
      <c r="N123" s="6" t="s">
        <v>62</v>
      </c>
      <c r="O123" s="6" t="s">
        <v>251</v>
      </c>
      <c r="P123" s="6"/>
    </row>
    <row r="124" spans="1:16" ht="14" customHeight="1">
      <c r="A124" s="5" t="s">
        <v>459</v>
      </c>
      <c r="B124" s="5" t="s">
        <v>12</v>
      </c>
      <c r="C124" s="5"/>
      <c r="D124" s="5" t="s">
        <v>460</v>
      </c>
      <c r="E124" s="5" t="s">
        <v>461</v>
      </c>
      <c r="F124" s="5" t="s">
        <v>211</v>
      </c>
      <c r="G124" s="9">
        <v>40.479999999999997</v>
      </c>
      <c r="H124" s="9">
        <v>680</v>
      </c>
      <c r="I124" s="10">
        <v>27526</v>
      </c>
      <c r="J124" s="7">
        <f t="shared" si="2"/>
        <v>27526</v>
      </c>
      <c r="K124" s="7">
        <f t="shared" si="3"/>
        <v>0</v>
      </c>
      <c r="L124" s="5" t="s">
        <v>462</v>
      </c>
      <c r="M124" s="5">
        <v>12</v>
      </c>
      <c r="N124" s="5" t="s">
        <v>62</v>
      </c>
      <c r="O124" s="5" t="s">
        <v>251</v>
      </c>
      <c r="P124" s="5"/>
    </row>
    <row r="125" spans="1:16" ht="14" customHeight="1">
      <c r="A125" s="6" t="s">
        <v>463</v>
      </c>
      <c r="B125" s="6" t="s">
        <v>12</v>
      </c>
      <c r="C125" s="6"/>
      <c r="D125" s="6" t="s">
        <v>464</v>
      </c>
      <c r="E125" s="6" t="s">
        <v>465</v>
      </c>
      <c r="F125" s="6" t="s">
        <v>61</v>
      </c>
      <c r="G125" s="11">
        <v>1</v>
      </c>
      <c r="H125" s="11">
        <v>100000</v>
      </c>
      <c r="I125" s="12">
        <v>100000</v>
      </c>
      <c r="J125" s="8">
        <f t="shared" si="2"/>
        <v>100000</v>
      </c>
      <c r="K125" s="8">
        <f t="shared" si="3"/>
        <v>0</v>
      </c>
      <c r="L125" s="6"/>
      <c r="M125" s="6">
        <v>12</v>
      </c>
      <c r="N125" s="6" t="s">
        <v>62</v>
      </c>
      <c r="O125" s="6" t="s">
        <v>251</v>
      </c>
      <c r="P125" s="6"/>
    </row>
    <row r="126" spans="1:16" ht="14" customHeight="1">
      <c r="A126" s="5" t="s">
        <v>466</v>
      </c>
      <c r="B126" s="5" t="s">
        <v>13</v>
      </c>
      <c r="C126" s="5"/>
      <c r="D126" s="5" t="s">
        <v>467</v>
      </c>
      <c r="E126" s="5" t="s">
        <v>468</v>
      </c>
      <c r="F126" s="5" t="s">
        <v>469</v>
      </c>
      <c r="G126" s="9">
        <v>4</v>
      </c>
      <c r="H126" s="9">
        <v>10200</v>
      </c>
      <c r="I126" s="10">
        <v>40800</v>
      </c>
      <c r="J126" s="7">
        <f t="shared" si="2"/>
        <v>40800</v>
      </c>
      <c r="K126" s="7">
        <f t="shared" si="3"/>
        <v>0</v>
      </c>
      <c r="L126" s="5" t="s">
        <v>470</v>
      </c>
      <c r="M126" s="5">
        <v>13</v>
      </c>
      <c r="N126" s="5" t="s">
        <v>62</v>
      </c>
      <c r="O126" s="5" t="s">
        <v>13</v>
      </c>
      <c r="P126" s="5"/>
    </row>
    <row r="127" spans="1:16" ht="14" customHeight="1">
      <c r="A127" s="6" t="s">
        <v>471</v>
      </c>
      <c r="B127" s="6" t="s">
        <v>13</v>
      </c>
      <c r="C127" s="6"/>
      <c r="D127" s="6" t="s">
        <v>472</v>
      </c>
      <c r="E127" s="6" t="s">
        <v>473</v>
      </c>
      <c r="F127" s="6" t="s">
        <v>469</v>
      </c>
      <c r="G127" s="11">
        <v>6</v>
      </c>
      <c r="H127" s="11">
        <v>11200</v>
      </c>
      <c r="I127" s="12">
        <v>67200</v>
      </c>
      <c r="J127" s="8">
        <f t="shared" si="2"/>
        <v>67200</v>
      </c>
      <c r="K127" s="8">
        <f t="shared" si="3"/>
        <v>0</v>
      </c>
      <c r="L127" s="6" t="s">
        <v>474</v>
      </c>
      <c r="M127" s="6">
        <v>13</v>
      </c>
      <c r="N127" s="6" t="s">
        <v>62</v>
      </c>
      <c r="O127" s="6" t="s">
        <v>13</v>
      </c>
      <c r="P127" s="6"/>
    </row>
    <row r="128" spans="1:16" ht="14" customHeight="1">
      <c r="A128" s="5" t="s">
        <v>475</v>
      </c>
      <c r="B128" s="5" t="s">
        <v>13</v>
      </c>
      <c r="C128" s="5"/>
      <c r="D128" s="5" t="s">
        <v>476</v>
      </c>
      <c r="E128" s="5" t="s">
        <v>477</v>
      </c>
      <c r="F128" s="5" t="s">
        <v>469</v>
      </c>
      <c r="G128" s="9">
        <v>6</v>
      </c>
      <c r="H128" s="9">
        <v>14400</v>
      </c>
      <c r="I128" s="10">
        <v>86400</v>
      </c>
      <c r="J128" s="7">
        <f t="shared" si="2"/>
        <v>86400</v>
      </c>
      <c r="K128" s="7">
        <f t="shared" si="3"/>
        <v>0</v>
      </c>
      <c r="L128" s="5" t="s">
        <v>478</v>
      </c>
      <c r="M128" s="5">
        <v>13</v>
      </c>
      <c r="N128" s="5" t="s">
        <v>62</v>
      </c>
      <c r="O128" s="5" t="s">
        <v>13</v>
      </c>
      <c r="P128" s="5"/>
    </row>
    <row r="129" spans="1:16" ht="14" customHeight="1">
      <c r="A129" s="6" t="s">
        <v>479</v>
      </c>
      <c r="B129" s="6" t="s">
        <v>13</v>
      </c>
      <c r="C129" s="6"/>
      <c r="D129" s="6" t="s">
        <v>480</v>
      </c>
      <c r="E129" s="6" t="s">
        <v>481</v>
      </c>
      <c r="F129" s="6" t="s">
        <v>469</v>
      </c>
      <c r="G129" s="11">
        <v>3</v>
      </c>
      <c r="H129" s="11">
        <v>24300</v>
      </c>
      <c r="I129" s="12">
        <v>72900</v>
      </c>
      <c r="J129" s="8">
        <f t="shared" si="2"/>
        <v>72900</v>
      </c>
      <c r="K129" s="8">
        <f t="shared" si="3"/>
        <v>0</v>
      </c>
      <c r="L129" s="6" t="s">
        <v>482</v>
      </c>
      <c r="M129" s="6">
        <v>13</v>
      </c>
      <c r="N129" s="6" t="s">
        <v>62</v>
      </c>
      <c r="O129" s="6" t="s">
        <v>13</v>
      </c>
      <c r="P129" s="6"/>
    </row>
    <row r="130" spans="1:16" ht="14" customHeight="1">
      <c r="A130" s="5" t="s">
        <v>483</v>
      </c>
      <c r="B130" s="5" t="s">
        <v>13</v>
      </c>
      <c r="C130" s="5"/>
      <c r="D130" s="5" t="s">
        <v>484</v>
      </c>
      <c r="E130" s="5" t="s">
        <v>485</v>
      </c>
      <c r="F130" s="5" t="s">
        <v>469</v>
      </c>
      <c r="G130" s="9">
        <v>2</v>
      </c>
      <c r="H130" s="9">
        <v>24800</v>
      </c>
      <c r="I130" s="10">
        <v>49600</v>
      </c>
      <c r="J130" s="7">
        <f t="shared" si="2"/>
        <v>49600</v>
      </c>
      <c r="K130" s="7">
        <f t="shared" si="3"/>
        <v>0</v>
      </c>
      <c r="L130" s="5" t="s">
        <v>486</v>
      </c>
      <c r="M130" s="5">
        <v>13</v>
      </c>
      <c r="N130" s="5" t="s">
        <v>62</v>
      </c>
      <c r="O130" s="5" t="s">
        <v>13</v>
      </c>
      <c r="P130" s="5"/>
    </row>
    <row r="131" spans="1:16" ht="14" customHeight="1">
      <c r="A131" s="6" t="s">
        <v>487</v>
      </c>
      <c r="B131" s="6" t="s">
        <v>13</v>
      </c>
      <c r="C131" s="6"/>
      <c r="D131" s="6" t="s">
        <v>488</v>
      </c>
      <c r="E131" s="6" t="s">
        <v>489</v>
      </c>
      <c r="F131" s="6" t="s">
        <v>469</v>
      </c>
      <c r="G131" s="11">
        <v>1</v>
      </c>
      <c r="H131" s="11">
        <v>14000</v>
      </c>
      <c r="I131" s="12">
        <v>14000</v>
      </c>
      <c r="J131" s="8">
        <f t="shared" si="2"/>
        <v>14000</v>
      </c>
      <c r="K131" s="8">
        <f t="shared" si="3"/>
        <v>0</v>
      </c>
      <c r="L131" s="6" t="s">
        <v>478</v>
      </c>
      <c r="M131" s="6">
        <v>13</v>
      </c>
      <c r="N131" s="6" t="s">
        <v>62</v>
      </c>
      <c r="O131" s="6" t="s">
        <v>13</v>
      </c>
      <c r="P131" s="6"/>
    </row>
    <row r="132" spans="1:16" ht="14" customHeight="1">
      <c r="A132" s="5" t="s">
        <v>490</v>
      </c>
      <c r="B132" s="5" t="s">
        <v>13</v>
      </c>
      <c r="C132" s="5"/>
      <c r="D132" s="5" t="s">
        <v>491</v>
      </c>
      <c r="E132" s="5" t="s">
        <v>492</v>
      </c>
      <c r="F132" s="5" t="s">
        <v>469</v>
      </c>
      <c r="G132" s="9">
        <v>3</v>
      </c>
      <c r="H132" s="9">
        <v>14000</v>
      </c>
      <c r="I132" s="10">
        <v>42000</v>
      </c>
      <c r="J132" s="7">
        <f t="shared" si="2"/>
        <v>42000</v>
      </c>
      <c r="K132" s="7">
        <f t="shared" si="3"/>
        <v>0</v>
      </c>
      <c r="L132" s="5" t="s">
        <v>493</v>
      </c>
      <c r="M132" s="5">
        <v>13</v>
      </c>
      <c r="N132" s="5" t="s">
        <v>62</v>
      </c>
      <c r="O132" s="5" t="s">
        <v>13</v>
      </c>
      <c r="P132" s="5"/>
    </row>
    <row r="133" spans="1:16" ht="14" customHeight="1">
      <c r="A133" s="6" t="s">
        <v>494</v>
      </c>
      <c r="B133" s="6" t="s">
        <v>13</v>
      </c>
      <c r="C133" s="6"/>
      <c r="D133" s="6" t="s">
        <v>495</v>
      </c>
      <c r="E133" s="6" t="s">
        <v>496</v>
      </c>
      <c r="F133" s="6" t="s">
        <v>469</v>
      </c>
      <c r="G133" s="11">
        <v>1</v>
      </c>
      <c r="H133" s="11">
        <v>19149</v>
      </c>
      <c r="I133" s="12">
        <v>19149</v>
      </c>
      <c r="J133" s="8">
        <f t="shared" si="2"/>
        <v>19149</v>
      </c>
      <c r="K133" s="8">
        <f t="shared" si="3"/>
        <v>0</v>
      </c>
      <c r="L133" s="6" t="s">
        <v>497</v>
      </c>
      <c r="M133" s="6">
        <v>13</v>
      </c>
      <c r="N133" s="6" t="s">
        <v>62</v>
      </c>
      <c r="O133" s="6" t="s">
        <v>13</v>
      </c>
      <c r="P133" s="6"/>
    </row>
    <row r="134" spans="1:16" ht="14" customHeight="1">
      <c r="A134" s="5" t="s">
        <v>498</v>
      </c>
      <c r="B134" s="5" t="s">
        <v>13</v>
      </c>
      <c r="C134" s="5"/>
      <c r="D134" s="5" t="s">
        <v>499</v>
      </c>
      <c r="E134" s="5" t="s">
        <v>500</v>
      </c>
      <c r="F134" s="5" t="s">
        <v>469</v>
      </c>
      <c r="G134" s="9">
        <v>1</v>
      </c>
      <c r="H134" s="9">
        <v>10293</v>
      </c>
      <c r="I134" s="10">
        <v>10293</v>
      </c>
      <c r="J134" s="7">
        <f t="shared" ref="J134:J197" si="4">IF(OR(G134="",H134=""),"",ROUND(G134*H134,0))</f>
        <v>10293</v>
      </c>
      <c r="K134" s="7">
        <f t="shared" ref="K134:K197" si="5">IF(OR(I134="",J134=""),"",I134-J134)</f>
        <v>0</v>
      </c>
      <c r="L134" s="5" t="s">
        <v>501</v>
      </c>
      <c r="M134" s="5">
        <v>13</v>
      </c>
      <c r="N134" s="5" t="s">
        <v>62</v>
      </c>
      <c r="O134" s="5" t="s">
        <v>13</v>
      </c>
      <c r="P134" s="5"/>
    </row>
    <row r="135" spans="1:16" ht="14" customHeight="1">
      <c r="A135" s="6" t="s">
        <v>502</v>
      </c>
      <c r="B135" s="6" t="s">
        <v>13</v>
      </c>
      <c r="C135" s="6"/>
      <c r="D135" s="6" t="s">
        <v>503</v>
      </c>
      <c r="E135" s="6" t="s">
        <v>504</v>
      </c>
      <c r="F135" s="6" t="s">
        <v>469</v>
      </c>
      <c r="G135" s="11">
        <v>1</v>
      </c>
      <c r="H135" s="11">
        <v>19398</v>
      </c>
      <c r="I135" s="12">
        <v>19398</v>
      </c>
      <c r="J135" s="8">
        <f t="shared" si="4"/>
        <v>19398</v>
      </c>
      <c r="K135" s="8">
        <f t="shared" si="5"/>
        <v>0</v>
      </c>
      <c r="L135" s="6" t="s">
        <v>505</v>
      </c>
      <c r="M135" s="6">
        <v>13</v>
      </c>
      <c r="N135" s="6" t="s">
        <v>62</v>
      </c>
      <c r="O135" s="6" t="s">
        <v>13</v>
      </c>
      <c r="P135" s="6"/>
    </row>
    <row r="136" spans="1:16" ht="14" customHeight="1">
      <c r="A136" s="5" t="s">
        <v>506</v>
      </c>
      <c r="B136" s="5" t="s">
        <v>13</v>
      </c>
      <c r="C136" s="5"/>
      <c r="D136" s="5" t="s">
        <v>507</v>
      </c>
      <c r="E136" s="5" t="s">
        <v>508</v>
      </c>
      <c r="F136" s="5" t="s">
        <v>469</v>
      </c>
      <c r="G136" s="9">
        <v>1</v>
      </c>
      <c r="H136" s="9">
        <v>25692</v>
      </c>
      <c r="I136" s="10">
        <v>25692</v>
      </c>
      <c r="J136" s="7">
        <f t="shared" si="4"/>
        <v>25692</v>
      </c>
      <c r="K136" s="7">
        <f t="shared" si="5"/>
        <v>0</v>
      </c>
      <c r="L136" s="5" t="s">
        <v>509</v>
      </c>
      <c r="M136" s="5">
        <v>13</v>
      </c>
      <c r="N136" s="5" t="s">
        <v>62</v>
      </c>
      <c r="O136" s="5" t="s">
        <v>13</v>
      </c>
      <c r="P136" s="5"/>
    </row>
    <row r="137" spans="1:16" ht="14" customHeight="1">
      <c r="A137" s="6" t="s">
        <v>510</v>
      </c>
      <c r="B137" s="6" t="s">
        <v>13</v>
      </c>
      <c r="C137" s="6"/>
      <c r="D137" s="6" t="s">
        <v>511</v>
      </c>
      <c r="E137" s="6" t="s">
        <v>512</v>
      </c>
      <c r="F137" s="6" t="s">
        <v>469</v>
      </c>
      <c r="G137" s="11">
        <v>1</v>
      </c>
      <c r="H137" s="11">
        <v>13172</v>
      </c>
      <c r="I137" s="12">
        <v>13172</v>
      </c>
      <c r="J137" s="8">
        <f t="shared" si="4"/>
        <v>13172</v>
      </c>
      <c r="K137" s="8">
        <f t="shared" si="5"/>
        <v>0</v>
      </c>
      <c r="L137" s="6" t="s">
        <v>513</v>
      </c>
      <c r="M137" s="6">
        <v>13</v>
      </c>
      <c r="N137" s="6" t="s">
        <v>62</v>
      </c>
      <c r="O137" s="6" t="s">
        <v>13</v>
      </c>
      <c r="P137" s="6"/>
    </row>
    <row r="138" spans="1:16" ht="14" customHeight="1">
      <c r="A138" s="5" t="s">
        <v>514</v>
      </c>
      <c r="B138" s="5" t="s">
        <v>13</v>
      </c>
      <c r="C138" s="5"/>
      <c r="D138" s="5" t="s">
        <v>515</v>
      </c>
      <c r="E138" s="5" t="s">
        <v>516</v>
      </c>
      <c r="F138" s="5" t="s">
        <v>469</v>
      </c>
      <c r="G138" s="9">
        <v>1</v>
      </c>
      <c r="H138" s="9">
        <v>13172</v>
      </c>
      <c r="I138" s="10">
        <v>13172</v>
      </c>
      <c r="J138" s="7">
        <f t="shared" si="4"/>
        <v>13172</v>
      </c>
      <c r="K138" s="7">
        <f t="shared" si="5"/>
        <v>0</v>
      </c>
      <c r="L138" s="5" t="s">
        <v>513</v>
      </c>
      <c r="M138" s="5">
        <v>13</v>
      </c>
      <c r="N138" s="5" t="s">
        <v>62</v>
      </c>
      <c r="O138" s="5" t="s">
        <v>13</v>
      </c>
      <c r="P138" s="5"/>
    </row>
    <row r="139" spans="1:16" ht="14" customHeight="1">
      <c r="A139" s="6" t="s">
        <v>517</v>
      </c>
      <c r="B139" s="6" t="s">
        <v>13</v>
      </c>
      <c r="C139" s="6"/>
      <c r="D139" s="6" t="s">
        <v>518</v>
      </c>
      <c r="E139" s="6" t="s">
        <v>519</v>
      </c>
      <c r="F139" s="6" t="s">
        <v>469</v>
      </c>
      <c r="G139" s="11">
        <v>1</v>
      </c>
      <c r="H139" s="11">
        <v>55000</v>
      </c>
      <c r="I139" s="12">
        <v>55000</v>
      </c>
      <c r="J139" s="8">
        <f t="shared" si="4"/>
        <v>55000</v>
      </c>
      <c r="K139" s="8">
        <f t="shared" si="5"/>
        <v>0</v>
      </c>
      <c r="L139" s="6" t="s">
        <v>520</v>
      </c>
      <c r="M139" s="6">
        <v>13</v>
      </c>
      <c r="N139" s="6" t="s">
        <v>62</v>
      </c>
      <c r="O139" s="6" t="s">
        <v>13</v>
      </c>
      <c r="P139" s="6"/>
    </row>
    <row r="140" spans="1:16" ht="14" customHeight="1">
      <c r="A140" s="5" t="s">
        <v>521</v>
      </c>
      <c r="B140" s="5" t="s">
        <v>13</v>
      </c>
      <c r="C140" s="5"/>
      <c r="D140" s="5" t="s">
        <v>522</v>
      </c>
      <c r="E140" s="5" t="s">
        <v>523</v>
      </c>
      <c r="F140" s="5" t="s">
        <v>469</v>
      </c>
      <c r="G140" s="9">
        <v>2</v>
      </c>
      <c r="H140" s="9">
        <v>37600</v>
      </c>
      <c r="I140" s="10">
        <v>75200</v>
      </c>
      <c r="J140" s="7">
        <f t="shared" si="4"/>
        <v>75200</v>
      </c>
      <c r="K140" s="7">
        <f t="shared" si="5"/>
        <v>0</v>
      </c>
      <c r="L140" s="5" t="s">
        <v>482</v>
      </c>
      <c r="M140" s="5">
        <v>14</v>
      </c>
      <c r="N140" s="5" t="s">
        <v>62</v>
      </c>
      <c r="O140" s="5" t="s">
        <v>13</v>
      </c>
      <c r="P140" s="5"/>
    </row>
    <row r="141" spans="1:16" ht="14" customHeight="1">
      <c r="A141" s="6" t="s">
        <v>524</v>
      </c>
      <c r="B141" s="6" t="s">
        <v>13</v>
      </c>
      <c r="C141" s="6"/>
      <c r="D141" s="6" t="s">
        <v>525</v>
      </c>
      <c r="E141" s="6" t="s">
        <v>526</v>
      </c>
      <c r="F141" s="6" t="s">
        <v>469</v>
      </c>
      <c r="G141" s="11">
        <v>1</v>
      </c>
      <c r="H141" s="11">
        <v>54400</v>
      </c>
      <c r="I141" s="12">
        <v>54400</v>
      </c>
      <c r="J141" s="8">
        <f t="shared" si="4"/>
        <v>54400</v>
      </c>
      <c r="K141" s="8">
        <f t="shared" si="5"/>
        <v>0</v>
      </c>
      <c r="L141" s="6" t="s">
        <v>482</v>
      </c>
      <c r="M141" s="6">
        <v>14</v>
      </c>
      <c r="N141" s="6" t="s">
        <v>62</v>
      </c>
      <c r="O141" s="6" t="s">
        <v>13</v>
      </c>
      <c r="P141" s="6"/>
    </row>
    <row r="142" spans="1:16" ht="14" customHeight="1">
      <c r="A142" s="5" t="s">
        <v>527</v>
      </c>
      <c r="B142" s="5" t="s">
        <v>13</v>
      </c>
      <c r="C142" s="5"/>
      <c r="D142" s="5" t="s">
        <v>528</v>
      </c>
      <c r="E142" s="5" t="s">
        <v>529</v>
      </c>
      <c r="F142" s="5" t="s">
        <v>469</v>
      </c>
      <c r="G142" s="9">
        <v>1</v>
      </c>
      <c r="H142" s="9">
        <v>39500</v>
      </c>
      <c r="I142" s="10">
        <v>39500</v>
      </c>
      <c r="J142" s="7">
        <f t="shared" si="4"/>
        <v>39500</v>
      </c>
      <c r="K142" s="7">
        <f t="shared" si="5"/>
        <v>0</v>
      </c>
      <c r="L142" s="5" t="s">
        <v>530</v>
      </c>
      <c r="M142" s="5">
        <v>14</v>
      </c>
      <c r="N142" s="5" t="s">
        <v>62</v>
      </c>
      <c r="O142" s="5" t="s">
        <v>13</v>
      </c>
      <c r="P142" s="5"/>
    </row>
    <row r="143" spans="1:16" ht="14" customHeight="1">
      <c r="A143" s="6" t="s">
        <v>531</v>
      </c>
      <c r="B143" s="6" t="s">
        <v>13</v>
      </c>
      <c r="C143" s="6"/>
      <c r="D143" s="6" t="s">
        <v>532</v>
      </c>
      <c r="E143" s="6" t="s">
        <v>533</v>
      </c>
      <c r="F143" s="6" t="s">
        <v>469</v>
      </c>
      <c r="G143" s="11">
        <v>1</v>
      </c>
      <c r="H143" s="11">
        <v>133431</v>
      </c>
      <c r="I143" s="12">
        <v>133431</v>
      </c>
      <c r="J143" s="8">
        <f t="shared" si="4"/>
        <v>133431</v>
      </c>
      <c r="K143" s="8">
        <f t="shared" si="5"/>
        <v>0</v>
      </c>
      <c r="L143" s="6" t="s">
        <v>534</v>
      </c>
      <c r="M143" s="6">
        <v>14</v>
      </c>
      <c r="N143" s="6" t="s">
        <v>62</v>
      </c>
      <c r="O143" s="6" t="s">
        <v>13</v>
      </c>
      <c r="P143" s="6"/>
    </row>
    <row r="144" spans="1:16" ht="14" customHeight="1">
      <c r="A144" s="5" t="s">
        <v>535</v>
      </c>
      <c r="B144" s="5" t="s">
        <v>13</v>
      </c>
      <c r="C144" s="5"/>
      <c r="D144" s="5" t="s">
        <v>536</v>
      </c>
      <c r="E144" s="5" t="s">
        <v>537</v>
      </c>
      <c r="F144" s="5" t="s">
        <v>469</v>
      </c>
      <c r="G144" s="9">
        <v>5</v>
      </c>
      <c r="H144" s="9">
        <v>56600</v>
      </c>
      <c r="I144" s="10">
        <v>283000</v>
      </c>
      <c r="J144" s="7">
        <f t="shared" si="4"/>
        <v>283000</v>
      </c>
      <c r="K144" s="7">
        <f t="shared" si="5"/>
        <v>0</v>
      </c>
      <c r="L144" s="5" t="s">
        <v>538</v>
      </c>
      <c r="M144" s="5">
        <v>14</v>
      </c>
      <c r="N144" s="5" t="s">
        <v>62</v>
      </c>
      <c r="O144" s="5" t="s">
        <v>13</v>
      </c>
      <c r="P144" s="5"/>
    </row>
    <row r="145" spans="1:16" ht="14" customHeight="1">
      <c r="A145" s="6" t="s">
        <v>539</v>
      </c>
      <c r="B145" s="6" t="s">
        <v>13</v>
      </c>
      <c r="C145" s="6"/>
      <c r="D145" s="6" t="s">
        <v>540</v>
      </c>
      <c r="E145" s="6" t="s">
        <v>541</v>
      </c>
      <c r="F145" s="6" t="s">
        <v>469</v>
      </c>
      <c r="G145" s="11">
        <v>1</v>
      </c>
      <c r="H145" s="11">
        <v>12200</v>
      </c>
      <c r="I145" s="12">
        <v>12200</v>
      </c>
      <c r="J145" s="8">
        <f t="shared" si="4"/>
        <v>12200</v>
      </c>
      <c r="K145" s="8">
        <f t="shared" si="5"/>
        <v>0</v>
      </c>
      <c r="L145" s="6" t="s">
        <v>474</v>
      </c>
      <c r="M145" s="6">
        <v>14</v>
      </c>
      <c r="N145" s="6" t="s">
        <v>62</v>
      </c>
      <c r="O145" s="6" t="s">
        <v>13</v>
      </c>
      <c r="P145" s="6"/>
    </row>
    <row r="146" spans="1:16" ht="14" customHeight="1">
      <c r="A146" s="5" t="s">
        <v>542</v>
      </c>
      <c r="B146" s="5" t="s">
        <v>13</v>
      </c>
      <c r="C146" s="5"/>
      <c r="D146" s="5" t="s">
        <v>543</v>
      </c>
      <c r="E146" s="5" t="s">
        <v>544</v>
      </c>
      <c r="F146" s="5" t="s">
        <v>469</v>
      </c>
      <c r="G146" s="9">
        <v>3</v>
      </c>
      <c r="H146" s="9">
        <v>35500</v>
      </c>
      <c r="I146" s="10">
        <v>106500</v>
      </c>
      <c r="J146" s="7">
        <f t="shared" si="4"/>
        <v>106500</v>
      </c>
      <c r="K146" s="7">
        <f t="shared" si="5"/>
        <v>0</v>
      </c>
      <c r="L146" s="5" t="s">
        <v>538</v>
      </c>
      <c r="M146" s="5">
        <v>14</v>
      </c>
      <c r="N146" s="5" t="s">
        <v>62</v>
      </c>
      <c r="O146" s="5" t="s">
        <v>13</v>
      </c>
      <c r="P146" s="5"/>
    </row>
    <row r="147" spans="1:16" ht="14" customHeight="1">
      <c r="A147" s="6" t="s">
        <v>545</v>
      </c>
      <c r="B147" s="6" t="s">
        <v>13</v>
      </c>
      <c r="C147" s="6"/>
      <c r="D147" s="6" t="s">
        <v>546</v>
      </c>
      <c r="E147" s="6" t="s">
        <v>547</v>
      </c>
      <c r="F147" s="6" t="s">
        <v>469</v>
      </c>
      <c r="G147" s="11">
        <v>1</v>
      </c>
      <c r="H147" s="11">
        <v>35500</v>
      </c>
      <c r="I147" s="12">
        <v>35500</v>
      </c>
      <c r="J147" s="8">
        <f t="shared" si="4"/>
        <v>35500</v>
      </c>
      <c r="K147" s="8">
        <f t="shared" si="5"/>
        <v>0</v>
      </c>
      <c r="L147" s="6" t="s">
        <v>538</v>
      </c>
      <c r="M147" s="6">
        <v>14</v>
      </c>
      <c r="N147" s="6" t="s">
        <v>62</v>
      </c>
      <c r="O147" s="6" t="s">
        <v>13</v>
      </c>
      <c r="P147" s="6"/>
    </row>
    <row r="148" spans="1:16" ht="14" customHeight="1">
      <c r="A148" s="5" t="s">
        <v>548</v>
      </c>
      <c r="B148" s="5" t="s">
        <v>13</v>
      </c>
      <c r="C148" s="5"/>
      <c r="D148" s="5" t="s">
        <v>549</v>
      </c>
      <c r="E148" s="5" t="s">
        <v>550</v>
      </c>
      <c r="F148" s="5" t="s">
        <v>469</v>
      </c>
      <c r="G148" s="9">
        <v>1</v>
      </c>
      <c r="H148" s="9">
        <v>59300</v>
      </c>
      <c r="I148" s="10">
        <v>59300</v>
      </c>
      <c r="J148" s="7">
        <f t="shared" si="4"/>
        <v>59300</v>
      </c>
      <c r="K148" s="7">
        <f t="shared" si="5"/>
        <v>0</v>
      </c>
      <c r="L148" s="5" t="s">
        <v>482</v>
      </c>
      <c r="M148" s="5">
        <v>14</v>
      </c>
      <c r="N148" s="5" t="s">
        <v>62</v>
      </c>
      <c r="O148" s="5" t="s">
        <v>13</v>
      </c>
      <c r="P148" s="5"/>
    </row>
    <row r="149" spans="1:16" ht="14" customHeight="1">
      <c r="A149" s="6" t="s">
        <v>551</v>
      </c>
      <c r="B149" s="6" t="s">
        <v>13</v>
      </c>
      <c r="C149" s="6"/>
      <c r="D149" s="6" t="s">
        <v>552</v>
      </c>
      <c r="E149" s="6" t="s">
        <v>553</v>
      </c>
      <c r="F149" s="6" t="s">
        <v>469</v>
      </c>
      <c r="G149" s="11">
        <v>8</v>
      </c>
      <c r="H149" s="11">
        <v>24800</v>
      </c>
      <c r="I149" s="12">
        <v>198400</v>
      </c>
      <c r="J149" s="8">
        <f t="shared" si="4"/>
        <v>198400</v>
      </c>
      <c r="K149" s="8">
        <f t="shared" si="5"/>
        <v>0</v>
      </c>
      <c r="L149" s="6" t="s">
        <v>482</v>
      </c>
      <c r="M149" s="6">
        <v>14</v>
      </c>
      <c r="N149" s="6" t="s">
        <v>62</v>
      </c>
      <c r="O149" s="6" t="s">
        <v>13</v>
      </c>
      <c r="P149" s="6"/>
    </row>
    <row r="150" spans="1:16" ht="14" customHeight="1">
      <c r="A150" s="5" t="s">
        <v>554</v>
      </c>
      <c r="B150" s="5" t="s">
        <v>13</v>
      </c>
      <c r="C150" s="5"/>
      <c r="D150" s="5" t="s">
        <v>555</v>
      </c>
      <c r="E150" s="5" t="s">
        <v>556</v>
      </c>
      <c r="F150" s="5" t="s">
        <v>469</v>
      </c>
      <c r="G150" s="9">
        <v>1</v>
      </c>
      <c r="H150" s="9">
        <v>24800</v>
      </c>
      <c r="I150" s="10">
        <v>24800</v>
      </c>
      <c r="J150" s="7">
        <f t="shared" si="4"/>
        <v>24800</v>
      </c>
      <c r="K150" s="7">
        <f t="shared" si="5"/>
        <v>0</v>
      </c>
      <c r="L150" s="5" t="s">
        <v>482</v>
      </c>
      <c r="M150" s="5">
        <v>14</v>
      </c>
      <c r="N150" s="5" t="s">
        <v>62</v>
      </c>
      <c r="O150" s="5" t="s">
        <v>13</v>
      </c>
      <c r="P150" s="5"/>
    </row>
    <row r="151" spans="1:16" ht="14" customHeight="1">
      <c r="A151" s="6" t="s">
        <v>557</v>
      </c>
      <c r="B151" s="6" t="s">
        <v>13</v>
      </c>
      <c r="C151" s="6"/>
      <c r="D151" s="6" t="s">
        <v>558</v>
      </c>
      <c r="E151" s="6" t="s">
        <v>559</v>
      </c>
      <c r="F151" s="6" t="s">
        <v>469</v>
      </c>
      <c r="G151" s="11">
        <v>2</v>
      </c>
      <c r="H151" s="11">
        <v>21300</v>
      </c>
      <c r="I151" s="12">
        <v>42600</v>
      </c>
      <c r="J151" s="8">
        <f t="shared" si="4"/>
        <v>42600</v>
      </c>
      <c r="K151" s="8">
        <f t="shared" si="5"/>
        <v>0</v>
      </c>
      <c r="L151" s="6" t="s">
        <v>482</v>
      </c>
      <c r="M151" s="6">
        <v>15</v>
      </c>
      <c r="N151" s="6" t="s">
        <v>62</v>
      </c>
      <c r="O151" s="6" t="s">
        <v>13</v>
      </c>
      <c r="P151" s="6"/>
    </row>
    <row r="152" spans="1:16" ht="14" customHeight="1">
      <c r="A152" s="5" t="s">
        <v>560</v>
      </c>
      <c r="B152" s="5" t="s">
        <v>13</v>
      </c>
      <c r="C152" s="5"/>
      <c r="D152" s="5" t="s">
        <v>561</v>
      </c>
      <c r="E152" s="5" t="s">
        <v>562</v>
      </c>
      <c r="F152" s="5" t="s">
        <v>469</v>
      </c>
      <c r="G152" s="9">
        <v>1</v>
      </c>
      <c r="H152" s="9">
        <v>43200</v>
      </c>
      <c r="I152" s="10">
        <v>43200</v>
      </c>
      <c r="J152" s="7">
        <f t="shared" si="4"/>
        <v>43200</v>
      </c>
      <c r="K152" s="7">
        <f t="shared" si="5"/>
        <v>0</v>
      </c>
      <c r="L152" s="5" t="s">
        <v>482</v>
      </c>
      <c r="M152" s="5">
        <v>15</v>
      </c>
      <c r="N152" s="5" t="s">
        <v>62</v>
      </c>
      <c r="O152" s="5" t="s">
        <v>13</v>
      </c>
      <c r="P152" s="5"/>
    </row>
    <row r="153" spans="1:16" ht="14" customHeight="1">
      <c r="A153" s="6" t="s">
        <v>563</v>
      </c>
      <c r="B153" s="6" t="s">
        <v>13</v>
      </c>
      <c r="C153" s="6"/>
      <c r="D153" s="6" t="s">
        <v>564</v>
      </c>
      <c r="E153" s="6" t="s">
        <v>565</v>
      </c>
      <c r="F153" s="6" t="s">
        <v>469</v>
      </c>
      <c r="G153" s="11">
        <v>1</v>
      </c>
      <c r="H153" s="11">
        <v>20400</v>
      </c>
      <c r="I153" s="12">
        <v>20400</v>
      </c>
      <c r="J153" s="8">
        <f t="shared" si="4"/>
        <v>20400</v>
      </c>
      <c r="K153" s="8">
        <f t="shared" si="5"/>
        <v>0</v>
      </c>
      <c r="L153" s="6" t="s">
        <v>482</v>
      </c>
      <c r="M153" s="6">
        <v>15</v>
      </c>
      <c r="N153" s="6" t="s">
        <v>62</v>
      </c>
      <c r="O153" s="6" t="s">
        <v>13</v>
      </c>
      <c r="P153" s="6"/>
    </row>
    <row r="154" spans="1:16" ht="14" customHeight="1">
      <c r="A154" s="5" t="s">
        <v>566</v>
      </c>
      <c r="B154" s="5" t="s">
        <v>13</v>
      </c>
      <c r="C154" s="5"/>
      <c r="D154" s="5" t="s">
        <v>567</v>
      </c>
      <c r="E154" s="5" t="s">
        <v>568</v>
      </c>
      <c r="F154" s="5" t="s">
        <v>469</v>
      </c>
      <c r="G154" s="9">
        <v>1</v>
      </c>
      <c r="H154" s="9">
        <v>20400</v>
      </c>
      <c r="I154" s="10">
        <v>20400</v>
      </c>
      <c r="J154" s="7">
        <f t="shared" si="4"/>
        <v>20400</v>
      </c>
      <c r="K154" s="7">
        <f t="shared" si="5"/>
        <v>0</v>
      </c>
      <c r="L154" s="5" t="s">
        <v>482</v>
      </c>
      <c r="M154" s="5">
        <v>15</v>
      </c>
      <c r="N154" s="5" t="s">
        <v>62</v>
      </c>
      <c r="O154" s="5" t="s">
        <v>13</v>
      </c>
      <c r="P154" s="5"/>
    </row>
    <row r="155" spans="1:16" ht="14" customHeight="1">
      <c r="A155" s="6" t="s">
        <v>569</v>
      </c>
      <c r="B155" s="6" t="s">
        <v>13</v>
      </c>
      <c r="C155" s="6"/>
      <c r="D155" s="6" t="s">
        <v>570</v>
      </c>
      <c r="E155" s="6" t="s">
        <v>571</v>
      </c>
      <c r="F155" s="6" t="s">
        <v>469</v>
      </c>
      <c r="G155" s="11">
        <v>1</v>
      </c>
      <c r="H155" s="11">
        <v>48900</v>
      </c>
      <c r="I155" s="12">
        <v>48900</v>
      </c>
      <c r="J155" s="8">
        <f t="shared" si="4"/>
        <v>48900</v>
      </c>
      <c r="K155" s="8">
        <f t="shared" si="5"/>
        <v>0</v>
      </c>
      <c r="L155" s="6" t="s">
        <v>482</v>
      </c>
      <c r="M155" s="6">
        <v>15</v>
      </c>
      <c r="N155" s="6" t="s">
        <v>62</v>
      </c>
      <c r="O155" s="6" t="s">
        <v>13</v>
      </c>
      <c r="P155" s="6"/>
    </row>
    <row r="156" spans="1:16" ht="14" customHeight="1">
      <c r="A156" s="5" t="s">
        <v>572</v>
      </c>
      <c r="B156" s="5" t="s">
        <v>13</v>
      </c>
      <c r="C156" s="5"/>
      <c r="D156" s="5" t="s">
        <v>573</v>
      </c>
      <c r="E156" s="5" t="s">
        <v>574</v>
      </c>
      <c r="F156" s="5" t="s">
        <v>469</v>
      </c>
      <c r="G156" s="9">
        <v>1</v>
      </c>
      <c r="H156" s="9">
        <v>163500</v>
      </c>
      <c r="I156" s="10">
        <v>163500</v>
      </c>
      <c r="J156" s="7">
        <f t="shared" si="4"/>
        <v>163500</v>
      </c>
      <c r="K156" s="7">
        <f t="shared" si="5"/>
        <v>0</v>
      </c>
      <c r="L156" s="5" t="s">
        <v>575</v>
      </c>
      <c r="M156" s="5">
        <v>15</v>
      </c>
      <c r="N156" s="5" t="s">
        <v>62</v>
      </c>
      <c r="O156" s="5" t="s">
        <v>13</v>
      </c>
      <c r="P156" s="5"/>
    </row>
    <row r="157" spans="1:16" ht="14" customHeight="1">
      <c r="A157" s="6" t="s">
        <v>576</v>
      </c>
      <c r="B157" s="6" t="s">
        <v>13</v>
      </c>
      <c r="C157" s="6"/>
      <c r="D157" s="6" t="s">
        <v>577</v>
      </c>
      <c r="E157" s="6" t="s">
        <v>578</v>
      </c>
      <c r="F157" s="6" t="s">
        <v>469</v>
      </c>
      <c r="G157" s="11">
        <v>1</v>
      </c>
      <c r="H157" s="11">
        <v>173500</v>
      </c>
      <c r="I157" s="12">
        <v>173500</v>
      </c>
      <c r="J157" s="8">
        <f t="shared" si="4"/>
        <v>173500</v>
      </c>
      <c r="K157" s="8">
        <f t="shared" si="5"/>
        <v>0</v>
      </c>
      <c r="L157" s="6" t="s">
        <v>575</v>
      </c>
      <c r="M157" s="6">
        <v>15</v>
      </c>
      <c r="N157" s="6" t="s">
        <v>62</v>
      </c>
      <c r="O157" s="6" t="s">
        <v>13</v>
      </c>
      <c r="P157" s="6"/>
    </row>
    <row r="158" spans="1:16" ht="14" customHeight="1">
      <c r="A158" s="5" t="s">
        <v>579</v>
      </c>
      <c r="B158" s="5" t="s">
        <v>13</v>
      </c>
      <c r="C158" s="5"/>
      <c r="D158" s="5" t="s">
        <v>580</v>
      </c>
      <c r="E158" s="5" t="s">
        <v>581</v>
      </c>
      <c r="F158" s="5" t="s">
        <v>469</v>
      </c>
      <c r="G158" s="9">
        <v>1</v>
      </c>
      <c r="H158" s="9">
        <v>201000</v>
      </c>
      <c r="I158" s="10">
        <v>201000</v>
      </c>
      <c r="J158" s="7">
        <f t="shared" si="4"/>
        <v>201000</v>
      </c>
      <c r="K158" s="7">
        <f t="shared" si="5"/>
        <v>0</v>
      </c>
      <c r="L158" s="5"/>
      <c r="M158" s="5">
        <v>15</v>
      </c>
      <c r="N158" s="5" t="s">
        <v>62</v>
      </c>
      <c r="O158" s="5" t="s">
        <v>13</v>
      </c>
      <c r="P158" s="5"/>
    </row>
    <row r="159" spans="1:16" ht="14" customHeight="1">
      <c r="A159" s="6" t="s">
        <v>582</v>
      </c>
      <c r="B159" s="6" t="s">
        <v>13</v>
      </c>
      <c r="C159" s="6"/>
      <c r="D159" s="6" t="s">
        <v>583</v>
      </c>
      <c r="E159" s="6" t="s">
        <v>584</v>
      </c>
      <c r="F159" s="6" t="s">
        <v>469</v>
      </c>
      <c r="G159" s="11">
        <v>2</v>
      </c>
      <c r="H159" s="11">
        <v>285000</v>
      </c>
      <c r="I159" s="12">
        <v>570000</v>
      </c>
      <c r="J159" s="8">
        <f t="shared" si="4"/>
        <v>570000</v>
      </c>
      <c r="K159" s="8">
        <f t="shared" si="5"/>
        <v>0</v>
      </c>
      <c r="L159" s="6"/>
      <c r="M159" s="6">
        <v>15</v>
      </c>
      <c r="N159" s="6" t="s">
        <v>62</v>
      </c>
      <c r="O159" s="6" t="s">
        <v>13</v>
      </c>
      <c r="P159" s="6"/>
    </row>
    <row r="160" spans="1:16" ht="14" customHeight="1">
      <c r="A160" s="5" t="s">
        <v>585</v>
      </c>
      <c r="B160" s="5" t="s">
        <v>13</v>
      </c>
      <c r="C160" s="5"/>
      <c r="D160" s="5" t="s">
        <v>586</v>
      </c>
      <c r="E160" s="5" t="s">
        <v>587</v>
      </c>
      <c r="F160" s="5" t="s">
        <v>469</v>
      </c>
      <c r="G160" s="9">
        <v>1</v>
      </c>
      <c r="H160" s="9">
        <v>286500</v>
      </c>
      <c r="I160" s="10">
        <v>286500</v>
      </c>
      <c r="J160" s="7">
        <f t="shared" si="4"/>
        <v>286500</v>
      </c>
      <c r="K160" s="7">
        <f t="shared" si="5"/>
        <v>0</v>
      </c>
      <c r="L160" s="5"/>
      <c r="M160" s="5">
        <v>15</v>
      </c>
      <c r="N160" s="5" t="s">
        <v>62</v>
      </c>
      <c r="O160" s="5" t="s">
        <v>13</v>
      </c>
      <c r="P160" s="5"/>
    </row>
    <row r="161" spans="1:16" ht="14" customHeight="1">
      <c r="A161" s="6" t="s">
        <v>588</v>
      </c>
      <c r="B161" s="6" t="s">
        <v>13</v>
      </c>
      <c r="C161" s="6"/>
      <c r="D161" s="6" t="s">
        <v>589</v>
      </c>
      <c r="E161" s="6" t="s">
        <v>590</v>
      </c>
      <c r="F161" s="6" t="s">
        <v>469</v>
      </c>
      <c r="G161" s="11">
        <v>1</v>
      </c>
      <c r="H161" s="11">
        <v>14710</v>
      </c>
      <c r="I161" s="12">
        <v>14710</v>
      </c>
      <c r="J161" s="8">
        <f t="shared" si="4"/>
        <v>14710</v>
      </c>
      <c r="K161" s="8">
        <f t="shared" si="5"/>
        <v>0</v>
      </c>
      <c r="L161" s="6" t="s">
        <v>591</v>
      </c>
      <c r="M161" s="6">
        <v>15</v>
      </c>
      <c r="N161" s="6" t="s">
        <v>62</v>
      </c>
      <c r="O161" s="6" t="s">
        <v>13</v>
      </c>
      <c r="P161" s="6"/>
    </row>
    <row r="162" spans="1:16" ht="14" customHeight="1">
      <c r="A162" s="5" t="s">
        <v>592</v>
      </c>
      <c r="B162" s="5" t="s">
        <v>13</v>
      </c>
      <c r="C162" s="5"/>
      <c r="D162" s="5" t="s">
        <v>593</v>
      </c>
      <c r="E162" s="5" t="s">
        <v>594</v>
      </c>
      <c r="F162" s="5" t="s">
        <v>469</v>
      </c>
      <c r="G162" s="9">
        <v>23</v>
      </c>
      <c r="H162" s="9">
        <v>9378</v>
      </c>
      <c r="I162" s="10">
        <v>215694</v>
      </c>
      <c r="J162" s="7">
        <f t="shared" si="4"/>
        <v>215694</v>
      </c>
      <c r="K162" s="7">
        <f t="shared" si="5"/>
        <v>0</v>
      </c>
      <c r="L162" s="5" t="s">
        <v>591</v>
      </c>
      <c r="M162" s="5">
        <v>15</v>
      </c>
      <c r="N162" s="5" t="s">
        <v>62</v>
      </c>
      <c r="O162" s="5" t="s">
        <v>13</v>
      </c>
      <c r="P162" s="5"/>
    </row>
    <row r="163" spans="1:16" ht="14" customHeight="1">
      <c r="A163" s="6" t="s">
        <v>595</v>
      </c>
      <c r="B163" s="6" t="s">
        <v>13</v>
      </c>
      <c r="C163" s="6"/>
      <c r="D163" s="6" t="s">
        <v>596</v>
      </c>
      <c r="E163" s="6" t="s">
        <v>597</v>
      </c>
      <c r="F163" s="6" t="s">
        <v>469</v>
      </c>
      <c r="G163" s="11">
        <v>4</v>
      </c>
      <c r="H163" s="11">
        <v>8201</v>
      </c>
      <c r="I163" s="12">
        <v>32804</v>
      </c>
      <c r="J163" s="8">
        <f t="shared" si="4"/>
        <v>32804</v>
      </c>
      <c r="K163" s="8">
        <f t="shared" si="5"/>
        <v>0</v>
      </c>
      <c r="L163" s="6" t="s">
        <v>591</v>
      </c>
      <c r="M163" s="6">
        <v>15</v>
      </c>
      <c r="N163" s="6" t="s">
        <v>62</v>
      </c>
      <c r="O163" s="6" t="s">
        <v>13</v>
      </c>
      <c r="P163" s="6"/>
    </row>
    <row r="164" spans="1:16" ht="14" customHeight="1">
      <c r="A164" s="5" t="s">
        <v>598</v>
      </c>
      <c r="B164" s="5" t="s">
        <v>13</v>
      </c>
      <c r="C164" s="5"/>
      <c r="D164" s="5" t="s">
        <v>599</v>
      </c>
      <c r="E164" s="5" t="s">
        <v>600</v>
      </c>
      <c r="F164" s="5" t="s">
        <v>469</v>
      </c>
      <c r="G164" s="9">
        <v>1</v>
      </c>
      <c r="H164" s="9">
        <v>16732</v>
      </c>
      <c r="I164" s="10">
        <v>16732</v>
      </c>
      <c r="J164" s="7">
        <f t="shared" si="4"/>
        <v>16732</v>
      </c>
      <c r="K164" s="7">
        <f t="shared" si="5"/>
        <v>0</v>
      </c>
      <c r="L164" s="5" t="s">
        <v>601</v>
      </c>
      <c r="M164" s="5">
        <v>15</v>
      </c>
      <c r="N164" s="5" t="s">
        <v>62</v>
      </c>
      <c r="O164" s="5" t="s">
        <v>13</v>
      </c>
      <c r="P164" s="5"/>
    </row>
    <row r="165" spans="1:16" ht="14" customHeight="1">
      <c r="A165" s="6" t="s">
        <v>602</v>
      </c>
      <c r="B165" s="6" t="s">
        <v>13</v>
      </c>
      <c r="C165" s="6"/>
      <c r="D165" s="6" t="s">
        <v>603</v>
      </c>
      <c r="E165" s="6" t="s">
        <v>604</v>
      </c>
      <c r="F165" s="6" t="s">
        <v>469</v>
      </c>
      <c r="G165" s="11">
        <v>2</v>
      </c>
      <c r="H165" s="11">
        <v>14065</v>
      </c>
      <c r="I165" s="12">
        <v>28130</v>
      </c>
      <c r="J165" s="8">
        <f t="shared" si="4"/>
        <v>28130</v>
      </c>
      <c r="K165" s="8">
        <f t="shared" si="5"/>
        <v>0</v>
      </c>
      <c r="L165" s="6" t="s">
        <v>501</v>
      </c>
      <c r="M165" s="6">
        <v>15</v>
      </c>
      <c r="N165" s="6" t="s">
        <v>62</v>
      </c>
      <c r="O165" s="6" t="s">
        <v>13</v>
      </c>
      <c r="P165" s="6"/>
    </row>
    <row r="166" spans="1:16" ht="14" customHeight="1">
      <c r="A166" s="5" t="s">
        <v>605</v>
      </c>
      <c r="B166" s="5" t="s">
        <v>13</v>
      </c>
      <c r="C166" s="5"/>
      <c r="D166" s="5" t="s">
        <v>606</v>
      </c>
      <c r="E166" s="5" t="s">
        <v>607</v>
      </c>
      <c r="F166" s="5" t="s">
        <v>469</v>
      </c>
      <c r="G166" s="9">
        <v>1</v>
      </c>
      <c r="H166" s="9">
        <v>14065</v>
      </c>
      <c r="I166" s="10">
        <v>14065</v>
      </c>
      <c r="J166" s="7">
        <f t="shared" si="4"/>
        <v>14065</v>
      </c>
      <c r="K166" s="7">
        <f t="shared" si="5"/>
        <v>0</v>
      </c>
      <c r="L166" s="5" t="s">
        <v>501</v>
      </c>
      <c r="M166" s="5">
        <v>16</v>
      </c>
      <c r="N166" s="5" t="s">
        <v>62</v>
      </c>
      <c r="O166" s="5" t="s">
        <v>13</v>
      </c>
      <c r="P166" s="5"/>
    </row>
    <row r="167" spans="1:16" ht="14" customHeight="1">
      <c r="A167" s="6" t="s">
        <v>608</v>
      </c>
      <c r="B167" s="6" t="s">
        <v>13</v>
      </c>
      <c r="C167" s="6"/>
      <c r="D167" s="6" t="s">
        <v>609</v>
      </c>
      <c r="E167" s="6" t="s">
        <v>610</v>
      </c>
      <c r="F167" s="6" t="s">
        <v>469</v>
      </c>
      <c r="G167" s="11">
        <v>4</v>
      </c>
      <c r="H167" s="11">
        <v>47286</v>
      </c>
      <c r="I167" s="12">
        <v>189144</v>
      </c>
      <c r="J167" s="8">
        <f t="shared" si="4"/>
        <v>189144</v>
      </c>
      <c r="K167" s="8">
        <f t="shared" si="5"/>
        <v>0</v>
      </c>
      <c r="L167" s="6" t="s">
        <v>611</v>
      </c>
      <c r="M167" s="6">
        <v>16</v>
      </c>
      <c r="N167" s="6" t="s">
        <v>62</v>
      </c>
      <c r="O167" s="6" t="s">
        <v>13</v>
      </c>
      <c r="P167" s="6"/>
    </row>
    <row r="168" spans="1:16" ht="14" customHeight="1">
      <c r="A168" s="5" t="s">
        <v>612</v>
      </c>
      <c r="B168" s="5" t="s">
        <v>13</v>
      </c>
      <c r="C168" s="5"/>
      <c r="D168" s="5" t="s">
        <v>613</v>
      </c>
      <c r="E168" s="5" t="s">
        <v>614</v>
      </c>
      <c r="F168" s="5" t="s">
        <v>469</v>
      </c>
      <c r="G168" s="9">
        <v>4</v>
      </c>
      <c r="H168" s="9">
        <v>47286</v>
      </c>
      <c r="I168" s="10">
        <v>189144</v>
      </c>
      <c r="J168" s="7">
        <f t="shared" si="4"/>
        <v>189144</v>
      </c>
      <c r="K168" s="7">
        <f t="shared" si="5"/>
        <v>0</v>
      </c>
      <c r="L168" s="5" t="s">
        <v>611</v>
      </c>
      <c r="M168" s="5">
        <v>16</v>
      </c>
      <c r="N168" s="5" t="s">
        <v>62</v>
      </c>
      <c r="O168" s="5" t="s">
        <v>13</v>
      </c>
      <c r="P168" s="5"/>
    </row>
    <row r="169" spans="1:16" ht="14" customHeight="1">
      <c r="A169" s="6" t="s">
        <v>615</v>
      </c>
      <c r="B169" s="6" t="s">
        <v>13</v>
      </c>
      <c r="C169" s="6"/>
      <c r="D169" s="6" t="s">
        <v>616</v>
      </c>
      <c r="E169" s="6" t="s">
        <v>617</v>
      </c>
      <c r="F169" s="6" t="s">
        <v>469</v>
      </c>
      <c r="G169" s="11">
        <v>4</v>
      </c>
      <c r="H169" s="11">
        <v>17572</v>
      </c>
      <c r="I169" s="12">
        <v>70288</v>
      </c>
      <c r="J169" s="8">
        <f t="shared" si="4"/>
        <v>70288</v>
      </c>
      <c r="K169" s="8">
        <f t="shared" si="5"/>
        <v>0</v>
      </c>
      <c r="L169" s="6" t="s">
        <v>618</v>
      </c>
      <c r="M169" s="6">
        <v>16</v>
      </c>
      <c r="N169" s="6" t="s">
        <v>62</v>
      </c>
      <c r="O169" s="6" t="s">
        <v>13</v>
      </c>
      <c r="P169" s="6"/>
    </row>
    <row r="170" spans="1:16" ht="14" customHeight="1">
      <c r="A170" s="5" t="s">
        <v>619</v>
      </c>
      <c r="B170" s="5" t="s">
        <v>13</v>
      </c>
      <c r="C170" s="5"/>
      <c r="D170" s="5" t="s">
        <v>620</v>
      </c>
      <c r="E170" s="5" t="s">
        <v>621</v>
      </c>
      <c r="F170" s="5" t="s">
        <v>469</v>
      </c>
      <c r="G170" s="9">
        <v>1</v>
      </c>
      <c r="H170" s="9">
        <v>20856</v>
      </c>
      <c r="I170" s="10">
        <v>20856</v>
      </c>
      <c r="J170" s="7">
        <f t="shared" si="4"/>
        <v>20856</v>
      </c>
      <c r="K170" s="7">
        <f t="shared" si="5"/>
        <v>0</v>
      </c>
      <c r="L170" s="5" t="s">
        <v>622</v>
      </c>
      <c r="M170" s="5">
        <v>16</v>
      </c>
      <c r="N170" s="5" t="s">
        <v>62</v>
      </c>
      <c r="O170" s="5" t="s">
        <v>13</v>
      </c>
      <c r="P170" s="5"/>
    </row>
    <row r="171" spans="1:16" ht="14" customHeight="1">
      <c r="A171" s="6" t="s">
        <v>623</v>
      </c>
      <c r="B171" s="6" t="s">
        <v>13</v>
      </c>
      <c r="C171" s="6"/>
      <c r="D171" s="6" t="s">
        <v>624</v>
      </c>
      <c r="E171" s="6" t="s">
        <v>625</v>
      </c>
      <c r="F171" s="6" t="s">
        <v>469</v>
      </c>
      <c r="G171" s="11">
        <v>2</v>
      </c>
      <c r="H171" s="11">
        <v>4742</v>
      </c>
      <c r="I171" s="12">
        <v>9484</v>
      </c>
      <c r="J171" s="8">
        <f t="shared" si="4"/>
        <v>9484</v>
      </c>
      <c r="K171" s="8">
        <f t="shared" si="5"/>
        <v>0</v>
      </c>
      <c r="L171" s="6" t="s">
        <v>626</v>
      </c>
      <c r="M171" s="6">
        <v>16</v>
      </c>
      <c r="N171" s="6" t="s">
        <v>62</v>
      </c>
      <c r="O171" s="6" t="s">
        <v>13</v>
      </c>
      <c r="P171" s="6"/>
    </row>
    <row r="172" spans="1:16" ht="14" customHeight="1">
      <c r="A172" s="5" t="s">
        <v>627</v>
      </c>
      <c r="B172" s="5" t="s">
        <v>13</v>
      </c>
      <c r="C172" s="5"/>
      <c r="D172" s="5" t="s">
        <v>628</v>
      </c>
      <c r="E172" s="5" t="s">
        <v>629</v>
      </c>
      <c r="F172" s="5" t="s">
        <v>469</v>
      </c>
      <c r="G172" s="9">
        <v>1</v>
      </c>
      <c r="H172" s="9">
        <v>8761</v>
      </c>
      <c r="I172" s="10">
        <v>8761</v>
      </c>
      <c r="J172" s="7">
        <f t="shared" si="4"/>
        <v>8761</v>
      </c>
      <c r="K172" s="7">
        <f t="shared" si="5"/>
        <v>0</v>
      </c>
      <c r="L172" s="5" t="s">
        <v>626</v>
      </c>
      <c r="M172" s="5">
        <v>16</v>
      </c>
      <c r="N172" s="5" t="s">
        <v>62</v>
      </c>
      <c r="O172" s="5" t="s">
        <v>13</v>
      </c>
      <c r="P172" s="5"/>
    </row>
    <row r="173" spans="1:16" ht="14" customHeight="1">
      <c r="A173" s="6" t="s">
        <v>630</v>
      </c>
      <c r="B173" s="6" t="s">
        <v>13</v>
      </c>
      <c r="C173" s="6"/>
      <c r="D173" s="6" t="s">
        <v>631</v>
      </c>
      <c r="E173" s="6" t="s">
        <v>632</v>
      </c>
      <c r="F173" s="6" t="s">
        <v>469</v>
      </c>
      <c r="G173" s="11">
        <v>2</v>
      </c>
      <c r="H173" s="11">
        <v>16598</v>
      </c>
      <c r="I173" s="12">
        <v>33196</v>
      </c>
      <c r="J173" s="8">
        <f t="shared" si="4"/>
        <v>33196</v>
      </c>
      <c r="K173" s="8">
        <f t="shared" si="5"/>
        <v>0</v>
      </c>
      <c r="L173" s="6" t="s">
        <v>633</v>
      </c>
      <c r="M173" s="6">
        <v>16</v>
      </c>
      <c r="N173" s="6" t="s">
        <v>62</v>
      </c>
      <c r="O173" s="6" t="s">
        <v>13</v>
      </c>
      <c r="P173" s="6"/>
    </row>
    <row r="174" spans="1:16" ht="14" customHeight="1">
      <c r="A174" s="5" t="s">
        <v>634</v>
      </c>
      <c r="B174" s="5" t="s">
        <v>13</v>
      </c>
      <c r="C174" s="5"/>
      <c r="D174" s="5" t="s">
        <v>635</v>
      </c>
      <c r="E174" s="5" t="s">
        <v>636</v>
      </c>
      <c r="F174" s="5" t="s">
        <v>469</v>
      </c>
      <c r="G174" s="9">
        <v>1</v>
      </c>
      <c r="H174" s="9">
        <v>66238</v>
      </c>
      <c r="I174" s="10">
        <v>66238</v>
      </c>
      <c r="J174" s="7">
        <f t="shared" si="4"/>
        <v>66238</v>
      </c>
      <c r="K174" s="7">
        <f t="shared" si="5"/>
        <v>0</v>
      </c>
      <c r="L174" s="5" t="s">
        <v>637</v>
      </c>
      <c r="M174" s="5">
        <v>16</v>
      </c>
      <c r="N174" s="5" t="s">
        <v>62</v>
      </c>
      <c r="O174" s="5" t="s">
        <v>13</v>
      </c>
      <c r="P174" s="5"/>
    </row>
    <row r="175" spans="1:16" ht="14" customHeight="1">
      <c r="A175" s="6" t="s">
        <v>638</v>
      </c>
      <c r="B175" s="6" t="s">
        <v>13</v>
      </c>
      <c r="C175" s="6"/>
      <c r="D175" s="6" t="s">
        <v>639</v>
      </c>
      <c r="E175" s="6" t="s">
        <v>640</v>
      </c>
      <c r="F175" s="6" t="s">
        <v>469</v>
      </c>
      <c r="G175" s="11">
        <v>1</v>
      </c>
      <c r="H175" s="11">
        <v>31539</v>
      </c>
      <c r="I175" s="12">
        <v>31539</v>
      </c>
      <c r="J175" s="8">
        <f t="shared" si="4"/>
        <v>31539</v>
      </c>
      <c r="K175" s="8">
        <f t="shared" si="5"/>
        <v>0</v>
      </c>
      <c r="L175" s="6" t="s">
        <v>641</v>
      </c>
      <c r="M175" s="6">
        <v>16</v>
      </c>
      <c r="N175" s="6" t="s">
        <v>62</v>
      </c>
      <c r="O175" s="6" t="s">
        <v>13</v>
      </c>
      <c r="P175" s="6"/>
    </row>
    <row r="176" spans="1:16" ht="14" customHeight="1">
      <c r="A176" s="5" t="s">
        <v>642</v>
      </c>
      <c r="B176" s="5" t="s">
        <v>13</v>
      </c>
      <c r="C176" s="5"/>
      <c r="D176" s="5" t="s">
        <v>643</v>
      </c>
      <c r="E176" s="5" t="s">
        <v>644</v>
      </c>
      <c r="F176" s="5" t="s">
        <v>469</v>
      </c>
      <c r="G176" s="9">
        <v>1</v>
      </c>
      <c r="H176" s="9">
        <v>81902</v>
      </c>
      <c r="I176" s="10">
        <v>81902</v>
      </c>
      <c r="J176" s="7">
        <f t="shared" si="4"/>
        <v>81902</v>
      </c>
      <c r="K176" s="7">
        <f t="shared" si="5"/>
        <v>0</v>
      </c>
      <c r="L176" s="5" t="s">
        <v>645</v>
      </c>
      <c r="M176" s="5">
        <v>16</v>
      </c>
      <c r="N176" s="5" t="s">
        <v>62</v>
      </c>
      <c r="O176" s="5" t="s">
        <v>13</v>
      </c>
      <c r="P176" s="5"/>
    </row>
    <row r="177" spans="1:16" ht="14" customHeight="1">
      <c r="A177" s="6" t="s">
        <v>646</v>
      </c>
      <c r="B177" s="6" t="s">
        <v>13</v>
      </c>
      <c r="C177" s="6"/>
      <c r="D177" s="6" t="s">
        <v>647</v>
      </c>
      <c r="E177" s="6" t="s">
        <v>648</v>
      </c>
      <c r="F177" s="6" t="s">
        <v>469</v>
      </c>
      <c r="G177" s="11">
        <v>1</v>
      </c>
      <c r="H177" s="11">
        <v>124635</v>
      </c>
      <c r="I177" s="12">
        <v>124635</v>
      </c>
      <c r="J177" s="8">
        <f t="shared" si="4"/>
        <v>124635</v>
      </c>
      <c r="K177" s="8">
        <f t="shared" si="5"/>
        <v>0</v>
      </c>
      <c r="L177" s="6" t="s">
        <v>649</v>
      </c>
      <c r="M177" s="6">
        <v>16</v>
      </c>
      <c r="N177" s="6" t="s">
        <v>62</v>
      </c>
      <c r="O177" s="6" t="s">
        <v>13</v>
      </c>
      <c r="P177" s="6"/>
    </row>
    <row r="178" spans="1:16" ht="14" customHeight="1">
      <c r="A178" s="5" t="s">
        <v>650</v>
      </c>
      <c r="B178" s="5" t="s">
        <v>13</v>
      </c>
      <c r="C178" s="5"/>
      <c r="D178" s="5" t="s">
        <v>651</v>
      </c>
      <c r="E178" s="5" t="s">
        <v>652</v>
      </c>
      <c r="F178" s="5" t="s">
        <v>469</v>
      </c>
      <c r="G178" s="9">
        <v>1</v>
      </c>
      <c r="H178" s="9">
        <v>139065</v>
      </c>
      <c r="I178" s="10">
        <v>139065</v>
      </c>
      <c r="J178" s="7">
        <f t="shared" si="4"/>
        <v>139065</v>
      </c>
      <c r="K178" s="7">
        <f t="shared" si="5"/>
        <v>0</v>
      </c>
      <c r="L178" s="5" t="s">
        <v>653</v>
      </c>
      <c r="M178" s="5">
        <v>16</v>
      </c>
      <c r="N178" s="5" t="s">
        <v>62</v>
      </c>
      <c r="O178" s="5" t="s">
        <v>13</v>
      </c>
      <c r="P178" s="5"/>
    </row>
    <row r="179" spans="1:16" ht="14" customHeight="1">
      <c r="A179" s="6" t="s">
        <v>654</v>
      </c>
      <c r="B179" s="6" t="s">
        <v>13</v>
      </c>
      <c r="C179" s="6"/>
      <c r="D179" s="6" t="s">
        <v>655</v>
      </c>
      <c r="E179" s="6" t="s">
        <v>656</v>
      </c>
      <c r="F179" s="6" t="s">
        <v>469</v>
      </c>
      <c r="G179" s="11">
        <v>1</v>
      </c>
      <c r="H179" s="11">
        <v>51316</v>
      </c>
      <c r="I179" s="12">
        <v>51316</v>
      </c>
      <c r="J179" s="8">
        <f t="shared" si="4"/>
        <v>51316</v>
      </c>
      <c r="K179" s="8">
        <f t="shared" si="5"/>
        <v>0</v>
      </c>
      <c r="L179" s="6" t="s">
        <v>657</v>
      </c>
      <c r="M179" s="6">
        <v>16</v>
      </c>
      <c r="N179" s="6" t="s">
        <v>62</v>
      </c>
      <c r="O179" s="6" t="s">
        <v>13</v>
      </c>
      <c r="P179" s="6"/>
    </row>
    <row r="180" spans="1:16" ht="14" customHeight="1">
      <c r="A180" s="5" t="s">
        <v>658</v>
      </c>
      <c r="B180" s="5" t="s">
        <v>13</v>
      </c>
      <c r="C180" s="5"/>
      <c r="D180" s="5" t="s">
        <v>659</v>
      </c>
      <c r="E180" s="5" t="s">
        <v>660</v>
      </c>
      <c r="F180" s="5" t="s">
        <v>469</v>
      </c>
      <c r="G180" s="9">
        <v>1</v>
      </c>
      <c r="H180" s="9">
        <v>756370</v>
      </c>
      <c r="I180" s="10">
        <v>756370</v>
      </c>
      <c r="J180" s="7">
        <f t="shared" si="4"/>
        <v>756370</v>
      </c>
      <c r="K180" s="7">
        <f t="shared" si="5"/>
        <v>0</v>
      </c>
      <c r="L180" s="5"/>
      <c r="M180" s="5">
        <v>16</v>
      </c>
      <c r="N180" s="5" t="s">
        <v>62</v>
      </c>
      <c r="O180" s="5" t="s">
        <v>13</v>
      </c>
      <c r="P180" s="5"/>
    </row>
    <row r="181" spans="1:16" ht="14" customHeight="1">
      <c r="A181" s="6" t="s">
        <v>661</v>
      </c>
      <c r="B181" s="6" t="s">
        <v>13</v>
      </c>
      <c r="C181" s="6"/>
      <c r="D181" s="6" t="s">
        <v>662</v>
      </c>
      <c r="E181" s="6" t="s">
        <v>663</v>
      </c>
      <c r="F181" s="6" t="s">
        <v>211</v>
      </c>
      <c r="G181" s="11">
        <v>46.2</v>
      </c>
      <c r="H181" s="11">
        <v>1800</v>
      </c>
      <c r="I181" s="12">
        <v>83160</v>
      </c>
      <c r="J181" s="8">
        <f t="shared" si="4"/>
        <v>83160</v>
      </c>
      <c r="K181" s="8">
        <f t="shared" si="5"/>
        <v>0</v>
      </c>
      <c r="L181" s="6"/>
      <c r="M181" s="6">
        <v>16</v>
      </c>
      <c r="N181" s="6" t="s">
        <v>62</v>
      </c>
      <c r="O181" s="6" t="s">
        <v>13</v>
      </c>
      <c r="P181" s="6"/>
    </row>
    <row r="182" spans="1:16" ht="14" customHeight="1">
      <c r="A182" s="5" t="s">
        <v>664</v>
      </c>
      <c r="B182" s="5" t="s">
        <v>13</v>
      </c>
      <c r="C182" s="5"/>
      <c r="D182" s="5" t="s">
        <v>665</v>
      </c>
      <c r="E182" s="5" t="s">
        <v>666</v>
      </c>
      <c r="F182" s="5" t="s">
        <v>469</v>
      </c>
      <c r="G182" s="9">
        <v>6</v>
      </c>
      <c r="H182" s="9">
        <v>37300</v>
      </c>
      <c r="I182" s="10">
        <v>223800</v>
      </c>
      <c r="J182" s="7">
        <f t="shared" si="4"/>
        <v>223800</v>
      </c>
      <c r="K182" s="7">
        <f t="shared" si="5"/>
        <v>0</v>
      </c>
      <c r="L182" s="5"/>
      <c r="M182" s="5">
        <v>16</v>
      </c>
      <c r="N182" s="5" t="s">
        <v>62</v>
      </c>
      <c r="O182" s="5" t="s">
        <v>13</v>
      </c>
      <c r="P182" s="5"/>
    </row>
    <row r="183" spans="1:16" ht="14" customHeight="1">
      <c r="A183" s="6" t="s">
        <v>667</v>
      </c>
      <c r="B183" s="6" t="s">
        <v>13</v>
      </c>
      <c r="C183" s="6"/>
      <c r="D183" s="6" t="s">
        <v>668</v>
      </c>
      <c r="E183" s="6" t="s">
        <v>669</v>
      </c>
      <c r="F183" s="6" t="s">
        <v>469</v>
      </c>
      <c r="G183" s="11">
        <v>7</v>
      </c>
      <c r="H183" s="11">
        <v>36479</v>
      </c>
      <c r="I183" s="12">
        <v>255353</v>
      </c>
      <c r="J183" s="8">
        <f t="shared" si="4"/>
        <v>255353</v>
      </c>
      <c r="K183" s="8">
        <f t="shared" si="5"/>
        <v>0</v>
      </c>
      <c r="L183" s="6" t="s">
        <v>670</v>
      </c>
      <c r="M183" s="6">
        <v>16</v>
      </c>
      <c r="N183" s="6" t="s">
        <v>62</v>
      </c>
      <c r="O183" s="6" t="s">
        <v>13</v>
      </c>
      <c r="P183" s="6"/>
    </row>
    <row r="184" spans="1:16" ht="14" customHeight="1">
      <c r="A184" s="5" t="s">
        <v>671</v>
      </c>
      <c r="B184" s="5" t="s">
        <v>13</v>
      </c>
      <c r="C184" s="5"/>
      <c r="D184" s="5" t="s">
        <v>672</v>
      </c>
      <c r="E184" s="5" t="s">
        <v>673</v>
      </c>
      <c r="F184" s="5" t="s">
        <v>674</v>
      </c>
      <c r="G184" s="9">
        <v>46.97</v>
      </c>
      <c r="H184" s="9">
        <v>90</v>
      </c>
      <c r="I184" s="10">
        <v>4227</v>
      </c>
      <c r="J184" s="7">
        <f t="shared" si="4"/>
        <v>4227</v>
      </c>
      <c r="K184" s="7">
        <f t="shared" si="5"/>
        <v>0</v>
      </c>
      <c r="L184" s="5" t="s">
        <v>675</v>
      </c>
      <c r="M184" s="5">
        <v>16</v>
      </c>
      <c r="N184" s="5" t="s">
        <v>62</v>
      </c>
      <c r="O184" s="5" t="s">
        <v>13</v>
      </c>
      <c r="P184" s="5"/>
    </row>
    <row r="185" spans="1:16" ht="14" customHeight="1">
      <c r="A185" s="6" t="s">
        <v>676</v>
      </c>
      <c r="B185" s="6" t="s">
        <v>13</v>
      </c>
      <c r="C185" s="6"/>
      <c r="D185" s="6" t="s">
        <v>677</v>
      </c>
      <c r="E185" s="6" t="s">
        <v>678</v>
      </c>
      <c r="F185" s="6" t="s">
        <v>674</v>
      </c>
      <c r="G185" s="11">
        <v>3636</v>
      </c>
      <c r="H185" s="11">
        <v>190</v>
      </c>
      <c r="I185" s="12">
        <v>690840</v>
      </c>
      <c r="J185" s="8">
        <f t="shared" si="4"/>
        <v>690840</v>
      </c>
      <c r="K185" s="8">
        <f t="shared" si="5"/>
        <v>0</v>
      </c>
      <c r="L185" s="6"/>
      <c r="M185" s="6">
        <v>16</v>
      </c>
      <c r="N185" s="6" t="s">
        <v>62</v>
      </c>
      <c r="O185" s="6" t="s">
        <v>13</v>
      </c>
      <c r="P185" s="6"/>
    </row>
    <row r="186" spans="1:16" ht="14" customHeight="1">
      <c r="A186" s="5" t="s">
        <v>679</v>
      </c>
      <c r="B186" s="5" t="s">
        <v>13</v>
      </c>
      <c r="C186" s="5"/>
      <c r="D186" s="5" t="s">
        <v>680</v>
      </c>
      <c r="E186" s="5" t="s">
        <v>681</v>
      </c>
      <c r="F186" s="5" t="s">
        <v>674</v>
      </c>
      <c r="G186" s="9">
        <v>31.42</v>
      </c>
      <c r="H186" s="9">
        <v>270</v>
      </c>
      <c r="I186" s="10">
        <v>8483</v>
      </c>
      <c r="J186" s="7">
        <f t="shared" si="4"/>
        <v>8483</v>
      </c>
      <c r="K186" s="7">
        <f t="shared" si="5"/>
        <v>0</v>
      </c>
      <c r="L186" s="5"/>
      <c r="M186" s="5">
        <v>17</v>
      </c>
      <c r="N186" s="5" t="s">
        <v>62</v>
      </c>
      <c r="O186" s="5" t="s">
        <v>13</v>
      </c>
      <c r="P186" s="5"/>
    </row>
    <row r="187" spans="1:16" ht="14" customHeight="1">
      <c r="A187" s="6" t="s">
        <v>682</v>
      </c>
      <c r="B187" s="6" t="s">
        <v>13</v>
      </c>
      <c r="C187" s="6"/>
      <c r="D187" s="6" t="s">
        <v>683</v>
      </c>
      <c r="E187" s="6" t="s">
        <v>684</v>
      </c>
      <c r="F187" s="6" t="s">
        <v>674</v>
      </c>
      <c r="G187" s="11">
        <v>977.57</v>
      </c>
      <c r="H187" s="11">
        <v>240</v>
      </c>
      <c r="I187" s="12">
        <v>234617</v>
      </c>
      <c r="J187" s="8">
        <f t="shared" si="4"/>
        <v>234617</v>
      </c>
      <c r="K187" s="8">
        <f t="shared" si="5"/>
        <v>0</v>
      </c>
      <c r="L187" s="6"/>
      <c r="M187" s="6">
        <v>17</v>
      </c>
      <c r="N187" s="6" t="s">
        <v>62</v>
      </c>
      <c r="O187" s="6" t="s">
        <v>13</v>
      </c>
      <c r="P187" s="6"/>
    </row>
    <row r="188" spans="1:16" ht="14" customHeight="1">
      <c r="A188" s="5" t="s">
        <v>685</v>
      </c>
      <c r="B188" s="5" t="s">
        <v>13</v>
      </c>
      <c r="C188" s="5"/>
      <c r="D188" s="5" t="s">
        <v>686</v>
      </c>
      <c r="E188" s="5" t="s">
        <v>687</v>
      </c>
      <c r="F188" s="5" t="s">
        <v>211</v>
      </c>
      <c r="G188" s="9">
        <v>708.85</v>
      </c>
      <c r="H188" s="9">
        <v>143</v>
      </c>
      <c r="I188" s="10">
        <v>101366</v>
      </c>
      <c r="J188" s="7">
        <f t="shared" si="4"/>
        <v>101366</v>
      </c>
      <c r="K188" s="7">
        <f t="shared" si="5"/>
        <v>0</v>
      </c>
      <c r="L188" s="5"/>
      <c r="M188" s="5">
        <v>17</v>
      </c>
      <c r="N188" s="5" t="s">
        <v>62</v>
      </c>
      <c r="O188" s="5" t="s">
        <v>13</v>
      </c>
      <c r="P188" s="5"/>
    </row>
    <row r="189" spans="1:16" ht="14" customHeight="1">
      <c r="A189" s="6" t="s">
        <v>688</v>
      </c>
      <c r="B189" s="6" t="s">
        <v>13</v>
      </c>
      <c r="C189" s="6"/>
      <c r="D189" s="6" t="s">
        <v>689</v>
      </c>
      <c r="E189" s="6" t="s">
        <v>690</v>
      </c>
      <c r="F189" s="6" t="s">
        <v>211</v>
      </c>
      <c r="G189" s="11">
        <v>306.43</v>
      </c>
      <c r="H189" s="11">
        <v>187</v>
      </c>
      <c r="I189" s="12">
        <v>57302</v>
      </c>
      <c r="J189" s="8">
        <f t="shared" si="4"/>
        <v>57302</v>
      </c>
      <c r="K189" s="8">
        <f t="shared" si="5"/>
        <v>0</v>
      </c>
      <c r="L189" s="6"/>
      <c r="M189" s="6">
        <v>17</v>
      </c>
      <c r="N189" s="6" t="s">
        <v>62</v>
      </c>
      <c r="O189" s="6" t="s">
        <v>13</v>
      </c>
      <c r="P189" s="6"/>
    </row>
    <row r="190" spans="1:16" ht="14" customHeight="1">
      <c r="A190" s="5" t="s">
        <v>691</v>
      </c>
      <c r="B190" s="5" t="s">
        <v>13</v>
      </c>
      <c r="C190" s="5"/>
      <c r="D190" s="5" t="s">
        <v>692</v>
      </c>
      <c r="E190" s="5" t="s">
        <v>693</v>
      </c>
      <c r="F190" s="5" t="s">
        <v>211</v>
      </c>
      <c r="G190" s="9">
        <v>504.08</v>
      </c>
      <c r="H190" s="9">
        <v>228</v>
      </c>
      <c r="I190" s="10">
        <v>114930</v>
      </c>
      <c r="J190" s="7">
        <f t="shared" si="4"/>
        <v>114930</v>
      </c>
      <c r="K190" s="7">
        <f t="shared" si="5"/>
        <v>0</v>
      </c>
      <c r="L190" s="5" t="s">
        <v>694</v>
      </c>
      <c r="M190" s="5">
        <v>17</v>
      </c>
      <c r="N190" s="5" t="s">
        <v>62</v>
      </c>
      <c r="O190" s="5" t="s">
        <v>13</v>
      </c>
      <c r="P190" s="5"/>
    </row>
    <row r="191" spans="1:16" ht="14" customHeight="1">
      <c r="A191" s="6" t="s">
        <v>695</v>
      </c>
      <c r="B191" s="6" t="s">
        <v>13</v>
      </c>
      <c r="C191" s="6"/>
      <c r="D191" s="6" t="s">
        <v>696</v>
      </c>
      <c r="E191" s="6" t="s">
        <v>697</v>
      </c>
      <c r="F191" s="6" t="s">
        <v>211</v>
      </c>
      <c r="G191" s="11">
        <v>248.75</v>
      </c>
      <c r="H191" s="11">
        <v>378</v>
      </c>
      <c r="I191" s="12">
        <v>94028</v>
      </c>
      <c r="J191" s="8">
        <f t="shared" si="4"/>
        <v>94028</v>
      </c>
      <c r="K191" s="8">
        <f t="shared" si="5"/>
        <v>0</v>
      </c>
      <c r="L191" s="6" t="s">
        <v>698</v>
      </c>
      <c r="M191" s="6">
        <v>17</v>
      </c>
      <c r="N191" s="6" t="s">
        <v>62</v>
      </c>
      <c r="O191" s="6" t="s">
        <v>13</v>
      </c>
      <c r="P191" s="6"/>
    </row>
    <row r="192" spans="1:16" ht="14" customHeight="1">
      <c r="A192" s="5" t="s">
        <v>699</v>
      </c>
      <c r="B192" s="5" t="s">
        <v>13</v>
      </c>
      <c r="C192" s="5"/>
      <c r="D192" s="5" t="s">
        <v>700</v>
      </c>
      <c r="E192" s="5" t="s">
        <v>701</v>
      </c>
      <c r="F192" s="5" t="s">
        <v>211</v>
      </c>
      <c r="G192" s="9">
        <v>689.89</v>
      </c>
      <c r="H192" s="9">
        <v>70</v>
      </c>
      <c r="I192" s="10">
        <v>48292</v>
      </c>
      <c r="J192" s="7">
        <f t="shared" si="4"/>
        <v>48292</v>
      </c>
      <c r="K192" s="7">
        <f t="shared" si="5"/>
        <v>0</v>
      </c>
      <c r="L192" s="5" t="s">
        <v>702</v>
      </c>
      <c r="M192" s="5">
        <v>17</v>
      </c>
      <c r="N192" s="5" t="s">
        <v>62</v>
      </c>
      <c r="O192" s="5" t="s">
        <v>13</v>
      </c>
      <c r="P192" s="5"/>
    </row>
    <row r="193" spans="1:16" ht="14" customHeight="1">
      <c r="A193" s="6" t="s">
        <v>703</v>
      </c>
      <c r="B193" s="6" t="s">
        <v>13</v>
      </c>
      <c r="C193" s="6"/>
      <c r="D193" s="6" t="s">
        <v>704</v>
      </c>
      <c r="E193" s="6" t="s">
        <v>705</v>
      </c>
      <c r="F193" s="6" t="s">
        <v>211</v>
      </c>
      <c r="G193" s="11">
        <v>116.6</v>
      </c>
      <c r="H193" s="11">
        <v>80</v>
      </c>
      <c r="I193" s="12">
        <v>9328</v>
      </c>
      <c r="J193" s="8">
        <f t="shared" si="4"/>
        <v>9328</v>
      </c>
      <c r="K193" s="8">
        <f t="shared" si="5"/>
        <v>0</v>
      </c>
      <c r="L193" s="6" t="s">
        <v>706</v>
      </c>
      <c r="M193" s="6">
        <v>17</v>
      </c>
      <c r="N193" s="6" t="s">
        <v>62</v>
      </c>
      <c r="O193" s="6" t="s">
        <v>13</v>
      </c>
      <c r="P193" s="6"/>
    </row>
    <row r="194" spans="1:16" ht="14" customHeight="1">
      <c r="A194" s="5" t="s">
        <v>707</v>
      </c>
      <c r="B194" s="5" t="s">
        <v>14</v>
      </c>
      <c r="C194" s="5"/>
      <c r="D194" s="5" t="s">
        <v>708</v>
      </c>
      <c r="E194" s="5" t="s">
        <v>709</v>
      </c>
      <c r="F194" s="5" t="s">
        <v>211</v>
      </c>
      <c r="G194" s="9">
        <v>143.4</v>
      </c>
      <c r="H194" s="9">
        <v>1600</v>
      </c>
      <c r="I194" s="10">
        <v>229440</v>
      </c>
      <c r="J194" s="7">
        <f t="shared" si="4"/>
        <v>229440</v>
      </c>
      <c r="K194" s="7">
        <f t="shared" si="5"/>
        <v>0</v>
      </c>
      <c r="L194" s="5"/>
      <c r="M194" s="5">
        <v>18</v>
      </c>
      <c r="N194" s="5" t="s">
        <v>62</v>
      </c>
      <c r="O194" s="5" t="s">
        <v>710</v>
      </c>
      <c r="P194" s="5"/>
    </row>
    <row r="195" spans="1:16" ht="14" customHeight="1">
      <c r="A195" s="6" t="s">
        <v>711</v>
      </c>
      <c r="B195" s="6" t="s">
        <v>14</v>
      </c>
      <c r="C195" s="6"/>
      <c r="D195" s="6" t="s">
        <v>712</v>
      </c>
      <c r="E195" s="6" t="s">
        <v>713</v>
      </c>
      <c r="F195" s="6" t="s">
        <v>211</v>
      </c>
      <c r="G195" s="11">
        <v>12.7</v>
      </c>
      <c r="H195" s="11">
        <v>6000</v>
      </c>
      <c r="I195" s="12">
        <v>76200</v>
      </c>
      <c r="J195" s="8">
        <f t="shared" si="4"/>
        <v>76200</v>
      </c>
      <c r="K195" s="8">
        <f t="shared" si="5"/>
        <v>0</v>
      </c>
      <c r="L195" s="6" t="s">
        <v>714</v>
      </c>
      <c r="M195" s="6">
        <v>18</v>
      </c>
      <c r="N195" s="6" t="s">
        <v>62</v>
      </c>
      <c r="O195" s="6" t="s">
        <v>710</v>
      </c>
      <c r="P195" s="6"/>
    </row>
    <row r="196" spans="1:16" ht="14" customHeight="1">
      <c r="A196" s="5" t="s">
        <v>715</v>
      </c>
      <c r="B196" s="5" t="s">
        <v>14</v>
      </c>
      <c r="C196" s="5"/>
      <c r="D196" s="5" t="s">
        <v>716</v>
      </c>
      <c r="E196" s="5" t="s">
        <v>717</v>
      </c>
      <c r="F196" s="5" t="s">
        <v>211</v>
      </c>
      <c r="G196" s="9">
        <v>16.3</v>
      </c>
      <c r="H196" s="9">
        <v>15749</v>
      </c>
      <c r="I196" s="10">
        <v>256709</v>
      </c>
      <c r="J196" s="7">
        <f t="shared" si="4"/>
        <v>256709</v>
      </c>
      <c r="K196" s="7">
        <f t="shared" si="5"/>
        <v>0</v>
      </c>
      <c r="L196" s="5" t="s">
        <v>718</v>
      </c>
      <c r="M196" s="5">
        <v>18</v>
      </c>
      <c r="N196" s="5" t="s">
        <v>62</v>
      </c>
      <c r="O196" s="5" t="s">
        <v>710</v>
      </c>
      <c r="P196" s="5"/>
    </row>
    <row r="197" spans="1:16" ht="14" customHeight="1">
      <c r="A197" s="6" t="s">
        <v>719</v>
      </c>
      <c r="B197" s="6" t="s">
        <v>14</v>
      </c>
      <c r="C197" s="6"/>
      <c r="D197" s="6" t="s">
        <v>720</v>
      </c>
      <c r="E197" s="6" t="s">
        <v>721</v>
      </c>
      <c r="F197" s="6" t="s">
        <v>211</v>
      </c>
      <c r="G197" s="11">
        <v>10.1</v>
      </c>
      <c r="H197" s="11">
        <v>7000</v>
      </c>
      <c r="I197" s="12">
        <v>70700</v>
      </c>
      <c r="J197" s="8">
        <f t="shared" si="4"/>
        <v>70700</v>
      </c>
      <c r="K197" s="8">
        <f t="shared" si="5"/>
        <v>0</v>
      </c>
      <c r="L197" s="6" t="s">
        <v>429</v>
      </c>
      <c r="M197" s="6">
        <v>18</v>
      </c>
      <c r="N197" s="6" t="s">
        <v>62</v>
      </c>
      <c r="O197" s="6" t="s">
        <v>710</v>
      </c>
      <c r="P197" s="6"/>
    </row>
    <row r="198" spans="1:16" ht="14" customHeight="1">
      <c r="A198" s="5" t="s">
        <v>722</v>
      </c>
      <c r="B198" s="5" t="s">
        <v>14</v>
      </c>
      <c r="C198" s="5"/>
      <c r="D198" s="5" t="s">
        <v>723</v>
      </c>
      <c r="E198" s="5" t="s">
        <v>724</v>
      </c>
      <c r="F198" s="5" t="s">
        <v>137</v>
      </c>
      <c r="G198" s="9">
        <v>1</v>
      </c>
      <c r="H198" s="9">
        <v>95000</v>
      </c>
      <c r="I198" s="10">
        <v>95000</v>
      </c>
      <c r="J198" s="7">
        <f t="shared" ref="J198:J232" si="6">IF(OR(G198="",H198=""),"",ROUND(G198*H198,0))</f>
        <v>95000</v>
      </c>
      <c r="K198" s="7">
        <f t="shared" ref="K198:K232" si="7">IF(OR(I198="",J198=""),"",I198-J198)</f>
        <v>0</v>
      </c>
      <c r="L198" s="5" t="s">
        <v>429</v>
      </c>
      <c r="M198" s="5">
        <v>18</v>
      </c>
      <c r="N198" s="5" t="s">
        <v>62</v>
      </c>
      <c r="O198" s="5" t="s">
        <v>710</v>
      </c>
      <c r="P198" s="5"/>
    </row>
    <row r="199" spans="1:16" ht="14" customHeight="1">
      <c r="A199" s="6" t="s">
        <v>725</v>
      </c>
      <c r="B199" s="6" t="s">
        <v>14</v>
      </c>
      <c r="C199" s="6"/>
      <c r="D199" s="6" t="s">
        <v>726</v>
      </c>
      <c r="E199" s="6" t="s">
        <v>727</v>
      </c>
      <c r="F199" s="6" t="s">
        <v>144</v>
      </c>
      <c r="G199" s="11">
        <v>1</v>
      </c>
      <c r="H199" s="11">
        <v>10000</v>
      </c>
      <c r="I199" s="12">
        <v>10000</v>
      </c>
      <c r="J199" s="8">
        <f t="shared" si="6"/>
        <v>10000</v>
      </c>
      <c r="K199" s="8">
        <f t="shared" si="7"/>
        <v>0</v>
      </c>
      <c r="L199" s="6"/>
      <c r="M199" s="6">
        <v>18</v>
      </c>
      <c r="N199" s="6" t="s">
        <v>62</v>
      </c>
      <c r="O199" s="6" t="s">
        <v>710</v>
      </c>
      <c r="P199" s="6"/>
    </row>
    <row r="200" spans="1:16" ht="14" customHeight="1">
      <c r="A200" s="5" t="s">
        <v>728</v>
      </c>
      <c r="B200" s="5" t="s">
        <v>14</v>
      </c>
      <c r="C200" s="5"/>
      <c r="D200" s="5" t="s">
        <v>729</v>
      </c>
      <c r="E200" s="5" t="s">
        <v>730</v>
      </c>
      <c r="F200" s="5" t="s">
        <v>137</v>
      </c>
      <c r="G200" s="9">
        <v>1</v>
      </c>
      <c r="H200" s="9">
        <v>2500</v>
      </c>
      <c r="I200" s="10">
        <v>2500</v>
      </c>
      <c r="J200" s="7">
        <f t="shared" si="6"/>
        <v>2500</v>
      </c>
      <c r="K200" s="7">
        <f t="shared" si="7"/>
        <v>0</v>
      </c>
      <c r="L200" s="5"/>
      <c r="M200" s="5">
        <v>18</v>
      </c>
      <c r="N200" s="5" t="s">
        <v>62</v>
      </c>
      <c r="O200" s="5" t="s">
        <v>710</v>
      </c>
      <c r="P200" s="5"/>
    </row>
    <row r="201" spans="1:16" ht="14" customHeight="1">
      <c r="A201" s="6" t="s">
        <v>731</v>
      </c>
      <c r="B201" s="6" t="s">
        <v>14</v>
      </c>
      <c r="C201" s="6"/>
      <c r="D201" s="6" t="s">
        <v>732</v>
      </c>
      <c r="E201" s="6" t="s">
        <v>733</v>
      </c>
      <c r="F201" s="6" t="s">
        <v>137</v>
      </c>
      <c r="G201" s="11">
        <v>1</v>
      </c>
      <c r="H201" s="11">
        <v>52000</v>
      </c>
      <c r="I201" s="12">
        <v>52000</v>
      </c>
      <c r="J201" s="8">
        <f t="shared" si="6"/>
        <v>52000</v>
      </c>
      <c r="K201" s="8">
        <f t="shared" si="7"/>
        <v>0</v>
      </c>
      <c r="L201" s="6"/>
      <c r="M201" s="6">
        <v>18</v>
      </c>
      <c r="N201" s="6" t="s">
        <v>62</v>
      </c>
      <c r="O201" s="6" t="s">
        <v>710</v>
      </c>
      <c r="P201" s="6"/>
    </row>
    <row r="202" spans="1:16" ht="14" customHeight="1">
      <c r="A202" s="5" t="s">
        <v>734</v>
      </c>
      <c r="B202" s="5" t="s">
        <v>14</v>
      </c>
      <c r="C202" s="5"/>
      <c r="D202" s="5" t="s">
        <v>735</v>
      </c>
      <c r="E202" s="5" t="s">
        <v>736</v>
      </c>
      <c r="F202" s="5" t="s">
        <v>126</v>
      </c>
      <c r="G202" s="9">
        <v>71.400000000000006</v>
      </c>
      <c r="H202" s="9">
        <v>3000</v>
      </c>
      <c r="I202" s="10">
        <v>214200</v>
      </c>
      <c r="J202" s="7">
        <f t="shared" si="6"/>
        <v>214200</v>
      </c>
      <c r="K202" s="7">
        <f t="shared" si="7"/>
        <v>0</v>
      </c>
      <c r="L202" s="5"/>
      <c r="M202" s="5">
        <v>18</v>
      </c>
      <c r="N202" s="5" t="s">
        <v>62</v>
      </c>
      <c r="O202" s="5" t="s">
        <v>710</v>
      </c>
      <c r="P202" s="5"/>
    </row>
    <row r="203" spans="1:16" ht="14" customHeight="1">
      <c r="A203" s="6" t="s">
        <v>737</v>
      </c>
      <c r="B203" s="6" t="s">
        <v>14</v>
      </c>
      <c r="C203" s="6"/>
      <c r="D203" s="6" t="s">
        <v>738</v>
      </c>
      <c r="E203" s="6" t="s">
        <v>739</v>
      </c>
      <c r="F203" s="6" t="s">
        <v>449</v>
      </c>
      <c r="G203" s="11">
        <v>9</v>
      </c>
      <c r="H203" s="11">
        <v>1700</v>
      </c>
      <c r="I203" s="12">
        <v>15300</v>
      </c>
      <c r="J203" s="8">
        <f t="shared" si="6"/>
        <v>15300</v>
      </c>
      <c r="K203" s="8">
        <f t="shared" si="7"/>
        <v>0</v>
      </c>
      <c r="L203" s="6"/>
      <c r="M203" s="6">
        <v>18</v>
      </c>
      <c r="N203" s="6" t="s">
        <v>62</v>
      </c>
      <c r="O203" s="6" t="s">
        <v>710</v>
      </c>
      <c r="P203" s="6"/>
    </row>
    <row r="204" spans="1:16" ht="14" customHeight="1">
      <c r="A204" s="5" t="s">
        <v>740</v>
      </c>
      <c r="B204" s="5" t="s">
        <v>14</v>
      </c>
      <c r="C204" s="5"/>
      <c r="D204" s="5" t="s">
        <v>741</v>
      </c>
      <c r="E204" s="5" t="s">
        <v>742</v>
      </c>
      <c r="F204" s="5" t="s">
        <v>130</v>
      </c>
      <c r="G204" s="9">
        <v>1</v>
      </c>
      <c r="H204" s="9">
        <v>5328</v>
      </c>
      <c r="I204" s="10">
        <v>5328</v>
      </c>
      <c r="J204" s="7">
        <f t="shared" si="6"/>
        <v>5328</v>
      </c>
      <c r="K204" s="7">
        <f t="shared" si="7"/>
        <v>0</v>
      </c>
      <c r="L204" s="5"/>
      <c r="M204" s="5">
        <v>18</v>
      </c>
      <c r="N204" s="5" t="s">
        <v>62</v>
      </c>
      <c r="O204" s="5" t="s">
        <v>710</v>
      </c>
      <c r="P204" s="5"/>
    </row>
    <row r="205" spans="1:16" ht="14" customHeight="1">
      <c r="A205" s="6" t="s">
        <v>743</v>
      </c>
      <c r="B205" s="6" t="s">
        <v>14</v>
      </c>
      <c r="C205" s="6"/>
      <c r="D205" s="6" t="s">
        <v>744</v>
      </c>
      <c r="E205" s="6" t="s">
        <v>745</v>
      </c>
      <c r="F205" s="6" t="s">
        <v>130</v>
      </c>
      <c r="G205" s="11">
        <v>1</v>
      </c>
      <c r="H205" s="11">
        <v>6068</v>
      </c>
      <c r="I205" s="12">
        <v>6068</v>
      </c>
      <c r="J205" s="8">
        <f t="shared" si="6"/>
        <v>6068</v>
      </c>
      <c r="K205" s="8">
        <f t="shared" si="7"/>
        <v>0</v>
      </c>
      <c r="L205" s="6"/>
      <c r="M205" s="6">
        <v>18</v>
      </c>
      <c r="N205" s="6" t="s">
        <v>62</v>
      </c>
      <c r="O205" s="6" t="s">
        <v>710</v>
      </c>
      <c r="P205" s="6"/>
    </row>
    <row r="206" spans="1:16" ht="14" customHeight="1">
      <c r="A206" s="5" t="s">
        <v>746</v>
      </c>
      <c r="B206" s="5" t="s">
        <v>14</v>
      </c>
      <c r="C206" s="5"/>
      <c r="D206" s="5" t="s">
        <v>747</v>
      </c>
      <c r="E206" s="5" t="s">
        <v>748</v>
      </c>
      <c r="F206" s="5" t="s">
        <v>130</v>
      </c>
      <c r="G206" s="9">
        <v>4</v>
      </c>
      <c r="H206" s="9">
        <v>768</v>
      </c>
      <c r="I206" s="10">
        <v>3072</v>
      </c>
      <c r="J206" s="7">
        <f t="shared" si="6"/>
        <v>3072</v>
      </c>
      <c r="K206" s="7">
        <f t="shared" si="7"/>
        <v>0</v>
      </c>
      <c r="L206" s="5"/>
      <c r="M206" s="5">
        <v>18</v>
      </c>
      <c r="N206" s="5" t="s">
        <v>62</v>
      </c>
      <c r="O206" s="5" t="s">
        <v>710</v>
      </c>
      <c r="P206" s="5"/>
    </row>
    <row r="207" spans="1:16" ht="14" customHeight="1">
      <c r="A207" s="6" t="s">
        <v>749</v>
      </c>
      <c r="B207" s="6" t="s">
        <v>14</v>
      </c>
      <c r="C207" s="6"/>
      <c r="D207" s="6" t="s">
        <v>750</v>
      </c>
      <c r="E207" s="6" t="s">
        <v>751</v>
      </c>
      <c r="F207" s="6" t="s">
        <v>144</v>
      </c>
      <c r="G207" s="11">
        <v>4</v>
      </c>
      <c r="H207" s="11">
        <v>3500</v>
      </c>
      <c r="I207" s="12">
        <v>14000</v>
      </c>
      <c r="J207" s="8">
        <f t="shared" si="6"/>
        <v>14000</v>
      </c>
      <c r="K207" s="8">
        <f t="shared" si="7"/>
        <v>0</v>
      </c>
      <c r="L207" s="6"/>
      <c r="M207" s="6">
        <v>18</v>
      </c>
      <c r="N207" s="6" t="s">
        <v>62</v>
      </c>
      <c r="O207" s="6" t="s">
        <v>710</v>
      </c>
      <c r="P207" s="6"/>
    </row>
    <row r="208" spans="1:16" ht="14" customHeight="1">
      <c r="A208" s="5" t="s">
        <v>752</v>
      </c>
      <c r="B208" s="5" t="s">
        <v>14</v>
      </c>
      <c r="C208" s="5"/>
      <c r="D208" s="5" t="s">
        <v>753</v>
      </c>
      <c r="E208" s="5" t="s">
        <v>754</v>
      </c>
      <c r="F208" s="5" t="s">
        <v>144</v>
      </c>
      <c r="G208" s="9">
        <v>4</v>
      </c>
      <c r="H208" s="9">
        <v>3850</v>
      </c>
      <c r="I208" s="10">
        <v>15400</v>
      </c>
      <c r="J208" s="7">
        <f t="shared" si="6"/>
        <v>15400</v>
      </c>
      <c r="K208" s="7">
        <f t="shared" si="7"/>
        <v>0</v>
      </c>
      <c r="L208" s="5"/>
      <c r="M208" s="5">
        <v>18</v>
      </c>
      <c r="N208" s="5" t="s">
        <v>62</v>
      </c>
      <c r="O208" s="5" t="s">
        <v>710</v>
      </c>
      <c r="P208" s="5"/>
    </row>
    <row r="209" spans="1:16" ht="14" customHeight="1">
      <c r="A209" s="6" t="s">
        <v>755</v>
      </c>
      <c r="B209" s="6" t="s">
        <v>14</v>
      </c>
      <c r="C209" s="6"/>
      <c r="D209" s="6" t="s">
        <v>756</v>
      </c>
      <c r="E209" s="6" t="s">
        <v>757</v>
      </c>
      <c r="F209" s="6" t="s">
        <v>144</v>
      </c>
      <c r="G209" s="11">
        <v>1</v>
      </c>
      <c r="H209" s="11">
        <v>4550</v>
      </c>
      <c r="I209" s="12">
        <v>4550</v>
      </c>
      <c r="J209" s="8">
        <f t="shared" si="6"/>
        <v>4550</v>
      </c>
      <c r="K209" s="8">
        <f t="shared" si="7"/>
        <v>0</v>
      </c>
      <c r="L209" s="6"/>
      <c r="M209" s="6">
        <v>18</v>
      </c>
      <c r="N209" s="6" t="s">
        <v>62</v>
      </c>
      <c r="O209" s="6" t="s">
        <v>710</v>
      </c>
      <c r="P209" s="6"/>
    </row>
    <row r="210" spans="1:16" ht="14" customHeight="1">
      <c r="A210" s="5" t="s">
        <v>758</v>
      </c>
      <c r="B210" s="5" t="s">
        <v>14</v>
      </c>
      <c r="C210" s="5"/>
      <c r="D210" s="5" t="s">
        <v>759</v>
      </c>
      <c r="E210" s="5" t="s">
        <v>760</v>
      </c>
      <c r="F210" s="5" t="s">
        <v>148</v>
      </c>
      <c r="G210" s="9">
        <v>3</v>
      </c>
      <c r="H210" s="9">
        <v>1200</v>
      </c>
      <c r="I210" s="10">
        <v>3600</v>
      </c>
      <c r="J210" s="7">
        <f t="shared" si="6"/>
        <v>3600</v>
      </c>
      <c r="K210" s="7">
        <f t="shared" si="7"/>
        <v>0</v>
      </c>
      <c r="L210" s="5"/>
      <c r="M210" s="5">
        <v>18</v>
      </c>
      <c r="N210" s="5" t="s">
        <v>62</v>
      </c>
      <c r="O210" s="5" t="s">
        <v>710</v>
      </c>
      <c r="P210" s="5"/>
    </row>
    <row r="211" spans="1:16" ht="14" customHeight="1">
      <c r="A211" s="6" t="s">
        <v>761</v>
      </c>
      <c r="B211" s="6" t="s">
        <v>14</v>
      </c>
      <c r="C211" s="6"/>
      <c r="D211" s="6" t="s">
        <v>762</v>
      </c>
      <c r="E211" s="6" t="s">
        <v>763</v>
      </c>
      <c r="F211" s="6" t="s">
        <v>148</v>
      </c>
      <c r="G211" s="11">
        <v>4</v>
      </c>
      <c r="H211" s="11">
        <v>1800</v>
      </c>
      <c r="I211" s="12">
        <v>7200</v>
      </c>
      <c r="J211" s="8">
        <f t="shared" si="6"/>
        <v>7200</v>
      </c>
      <c r="K211" s="8">
        <f t="shared" si="7"/>
        <v>0</v>
      </c>
      <c r="L211" s="6"/>
      <c r="M211" s="6">
        <v>18</v>
      </c>
      <c r="N211" s="6" t="s">
        <v>62</v>
      </c>
      <c r="O211" s="6" t="s">
        <v>710</v>
      </c>
      <c r="P211" s="6"/>
    </row>
    <row r="212" spans="1:16" ht="14" customHeight="1">
      <c r="A212" s="5" t="s">
        <v>764</v>
      </c>
      <c r="B212" s="5" t="s">
        <v>14</v>
      </c>
      <c r="C212" s="5"/>
      <c r="D212" s="5" t="s">
        <v>765</v>
      </c>
      <c r="E212" s="5" t="s">
        <v>766</v>
      </c>
      <c r="F212" s="5" t="s">
        <v>61</v>
      </c>
      <c r="G212" s="9">
        <v>1</v>
      </c>
      <c r="H212" s="9">
        <v>15000</v>
      </c>
      <c r="I212" s="10">
        <v>15000</v>
      </c>
      <c r="J212" s="7">
        <f t="shared" si="6"/>
        <v>15000</v>
      </c>
      <c r="K212" s="7">
        <f t="shared" si="7"/>
        <v>0</v>
      </c>
      <c r="L212" s="5"/>
      <c r="M212" s="5">
        <v>18</v>
      </c>
      <c r="N212" s="5" t="s">
        <v>62</v>
      </c>
      <c r="O212" s="5" t="s">
        <v>710</v>
      </c>
      <c r="P212" s="5"/>
    </row>
    <row r="213" spans="1:16" ht="14" customHeight="1">
      <c r="A213" s="6" t="s">
        <v>767</v>
      </c>
      <c r="B213" s="6" t="s">
        <v>15</v>
      </c>
      <c r="C213" s="6"/>
      <c r="D213" s="6" t="s">
        <v>768</v>
      </c>
      <c r="E213" s="6" t="s">
        <v>769</v>
      </c>
      <c r="F213" s="6" t="s">
        <v>61</v>
      </c>
      <c r="G213" s="11">
        <v>1</v>
      </c>
      <c r="H213" s="11">
        <v>1777709</v>
      </c>
      <c r="I213" s="12">
        <v>1777709</v>
      </c>
      <c r="J213" s="8">
        <f t="shared" si="6"/>
        <v>1777709</v>
      </c>
      <c r="K213" s="8">
        <f t="shared" si="7"/>
        <v>0</v>
      </c>
      <c r="L213" s="6" t="s">
        <v>770</v>
      </c>
      <c r="M213" s="6">
        <v>19</v>
      </c>
      <c r="N213" s="6" t="s">
        <v>62</v>
      </c>
      <c r="O213" s="6" t="s">
        <v>710</v>
      </c>
      <c r="P213" s="6"/>
    </row>
    <row r="214" spans="1:16" ht="14" customHeight="1">
      <c r="A214" s="5" t="s">
        <v>771</v>
      </c>
      <c r="B214" s="5" t="s">
        <v>15</v>
      </c>
      <c r="C214" s="5"/>
      <c r="D214" s="5" t="s">
        <v>772</v>
      </c>
      <c r="E214" s="5" t="s">
        <v>773</v>
      </c>
      <c r="F214" s="5" t="s">
        <v>137</v>
      </c>
      <c r="G214" s="9">
        <v>2</v>
      </c>
      <c r="H214" s="9">
        <v>60700</v>
      </c>
      <c r="I214" s="10">
        <v>121400</v>
      </c>
      <c r="J214" s="7">
        <f t="shared" si="6"/>
        <v>121400</v>
      </c>
      <c r="K214" s="7">
        <f t="shared" si="7"/>
        <v>0</v>
      </c>
      <c r="L214" s="5"/>
      <c r="M214" s="5">
        <v>19</v>
      </c>
      <c r="N214" s="5" t="s">
        <v>62</v>
      </c>
      <c r="O214" s="5" t="s">
        <v>710</v>
      </c>
      <c r="P214" s="5"/>
    </row>
    <row r="215" spans="1:16" ht="14" customHeight="1">
      <c r="A215" s="6" t="s">
        <v>774</v>
      </c>
      <c r="B215" s="6" t="s">
        <v>15</v>
      </c>
      <c r="C215" s="6"/>
      <c r="D215" s="6" t="s">
        <v>775</v>
      </c>
      <c r="E215" s="6" t="s">
        <v>776</v>
      </c>
      <c r="F215" s="6" t="s">
        <v>144</v>
      </c>
      <c r="G215" s="11">
        <v>6</v>
      </c>
      <c r="H215" s="11">
        <v>8000</v>
      </c>
      <c r="I215" s="12">
        <v>48000</v>
      </c>
      <c r="J215" s="8">
        <f t="shared" si="6"/>
        <v>48000</v>
      </c>
      <c r="K215" s="8">
        <f t="shared" si="7"/>
        <v>0</v>
      </c>
      <c r="L215" s="6"/>
      <c r="M215" s="6">
        <v>19</v>
      </c>
      <c r="N215" s="6" t="s">
        <v>62</v>
      </c>
      <c r="O215" s="6" t="s">
        <v>710</v>
      </c>
      <c r="P215" s="6"/>
    </row>
    <row r="216" spans="1:16" ht="14" customHeight="1">
      <c r="A216" s="5" t="s">
        <v>777</v>
      </c>
      <c r="B216" s="5" t="s">
        <v>15</v>
      </c>
      <c r="C216" s="5"/>
      <c r="D216" s="5" t="s">
        <v>778</v>
      </c>
      <c r="E216" s="5" t="s">
        <v>779</v>
      </c>
      <c r="F216" s="5" t="s">
        <v>780</v>
      </c>
      <c r="G216" s="9">
        <v>2</v>
      </c>
      <c r="H216" s="9">
        <v>13000</v>
      </c>
      <c r="I216" s="10">
        <v>26000</v>
      </c>
      <c r="J216" s="7">
        <f t="shared" si="6"/>
        <v>26000</v>
      </c>
      <c r="K216" s="7">
        <f t="shared" si="7"/>
        <v>0</v>
      </c>
      <c r="L216" s="5"/>
      <c r="M216" s="5">
        <v>19</v>
      </c>
      <c r="N216" s="5" t="s">
        <v>62</v>
      </c>
      <c r="O216" s="5" t="s">
        <v>710</v>
      </c>
      <c r="P216" s="5"/>
    </row>
    <row r="217" spans="1:16" ht="14" customHeight="1">
      <c r="A217" s="6" t="s">
        <v>781</v>
      </c>
      <c r="B217" s="6" t="s">
        <v>15</v>
      </c>
      <c r="C217" s="6"/>
      <c r="D217" s="6" t="s">
        <v>782</v>
      </c>
      <c r="E217" s="6" t="s">
        <v>783</v>
      </c>
      <c r="F217" s="6" t="s">
        <v>137</v>
      </c>
      <c r="G217" s="11">
        <v>2</v>
      </c>
      <c r="H217" s="11">
        <v>18000</v>
      </c>
      <c r="I217" s="12">
        <v>36000</v>
      </c>
      <c r="J217" s="8">
        <f t="shared" si="6"/>
        <v>36000</v>
      </c>
      <c r="K217" s="8">
        <f t="shared" si="7"/>
        <v>0</v>
      </c>
      <c r="L217" s="6"/>
      <c r="M217" s="6">
        <v>19</v>
      </c>
      <c r="N217" s="6" t="s">
        <v>62</v>
      </c>
      <c r="O217" s="6" t="s">
        <v>710</v>
      </c>
      <c r="P217" s="6"/>
    </row>
    <row r="218" spans="1:16" ht="14" customHeight="1">
      <c r="A218" s="5" t="s">
        <v>784</v>
      </c>
      <c r="B218" s="5" t="s">
        <v>15</v>
      </c>
      <c r="C218" s="5"/>
      <c r="D218" s="5" t="s">
        <v>785</v>
      </c>
      <c r="E218" s="5" t="s">
        <v>786</v>
      </c>
      <c r="F218" s="5" t="s">
        <v>137</v>
      </c>
      <c r="G218" s="9">
        <v>9</v>
      </c>
      <c r="H218" s="9">
        <v>8000</v>
      </c>
      <c r="I218" s="10">
        <v>72000</v>
      </c>
      <c r="J218" s="7">
        <f t="shared" si="6"/>
        <v>72000</v>
      </c>
      <c r="K218" s="7">
        <f t="shared" si="7"/>
        <v>0</v>
      </c>
      <c r="L218" s="5"/>
      <c r="M218" s="5">
        <v>19</v>
      </c>
      <c r="N218" s="5" t="s">
        <v>62</v>
      </c>
      <c r="O218" s="5" t="s">
        <v>710</v>
      </c>
      <c r="P218" s="5"/>
    </row>
    <row r="219" spans="1:16" ht="14" customHeight="1">
      <c r="A219" s="6" t="s">
        <v>787</v>
      </c>
      <c r="B219" s="6" t="s">
        <v>15</v>
      </c>
      <c r="C219" s="6"/>
      <c r="D219" s="6" t="s">
        <v>788</v>
      </c>
      <c r="E219" s="6" t="s">
        <v>789</v>
      </c>
      <c r="F219" s="6" t="s">
        <v>211</v>
      </c>
      <c r="G219" s="11">
        <v>150.5</v>
      </c>
      <c r="H219" s="11">
        <v>1680</v>
      </c>
      <c r="I219" s="12">
        <v>252840</v>
      </c>
      <c r="J219" s="8">
        <f t="shared" si="6"/>
        <v>252840</v>
      </c>
      <c r="K219" s="8">
        <f t="shared" si="7"/>
        <v>0</v>
      </c>
      <c r="L219" s="6"/>
      <c r="M219" s="6">
        <v>19</v>
      </c>
      <c r="N219" s="6" t="s">
        <v>62</v>
      </c>
      <c r="O219" s="6" t="s">
        <v>710</v>
      </c>
      <c r="P219" s="6"/>
    </row>
    <row r="220" spans="1:16" ht="14" customHeight="1">
      <c r="A220" s="5" t="s">
        <v>790</v>
      </c>
      <c r="B220" s="5" t="s">
        <v>15</v>
      </c>
      <c r="C220" s="5"/>
      <c r="D220" s="5" t="s">
        <v>791</v>
      </c>
      <c r="E220" s="5" t="s">
        <v>792</v>
      </c>
      <c r="F220" s="5" t="s">
        <v>61</v>
      </c>
      <c r="G220" s="9">
        <v>1</v>
      </c>
      <c r="H220" s="9">
        <v>279741</v>
      </c>
      <c r="I220" s="10">
        <v>279741</v>
      </c>
      <c r="J220" s="7">
        <f t="shared" si="6"/>
        <v>279741</v>
      </c>
      <c r="K220" s="7">
        <f t="shared" si="7"/>
        <v>0</v>
      </c>
      <c r="L220" s="5"/>
      <c r="M220" s="5">
        <v>19</v>
      </c>
      <c r="N220" s="5" t="s">
        <v>62</v>
      </c>
      <c r="O220" s="5" t="s">
        <v>710</v>
      </c>
      <c r="P220" s="5"/>
    </row>
    <row r="221" spans="1:16" ht="14" customHeight="1">
      <c r="A221" s="6" t="s">
        <v>793</v>
      </c>
      <c r="B221" s="6" t="s">
        <v>15</v>
      </c>
      <c r="C221" s="6"/>
      <c r="D221" s="6" t="s">
        <v>794</v>
      </c>
      <c r="E221" s="6" t="s">
        <v>795</v>
      </c>
      <c r="F221" s="6" t="s">
        <v>61</v>
      </c>
      <c r="G221" s="11">
        <v>1</v>
      </c>
      <c r="H221" s="11">
        <v>34000</v>
      </c>
      <c r="I221" s="12">
        <v>34000</v>
      </c>
      <c r="J221" s="8">
        <f t="shared" si="6"/>
        <v>34000</v>
      </c>
      <c r="K221" s="8">
        <f t="shared" si="7"/>
        <v>0</v>
      </c>
      <c r="L221" s="6"/>
      <c r="M221" s="6">
        <v>19</v>
      </c>
      <c r="N221" s="6" t="s">
        <v>62</v>
      </c>
      <c r="O221" s="6" t="s">
        <v>710</v>
      </c>
      <c r="P221" s="6"/>
    </row>
    <row r="222" spans="1:16" ht="14" customHeight="1">
      <c r="A222" s="5" t="s">
        <v>796</v>
      </c>
      <c r="B222" s="5" t="s">
        <v>15</v>
      </c>
      <c r="C222" s="5"/>
      <c r="D222" s="5" t="s">
        <v>797</v>
      </c>
      <c r="E222" s="5" t="s">
        <v>798</v>
      </c>
      <c r="F222" s="5" t="s">
        <v>61</v>
      </c>
      <c r="G222" s="9">
        <v>1</v>
      </c>
      <c r="H222" s="9">
        <v>66764</v>
      </c>
      <c r="I222" s="10">
        <v>66764</v>
      </c>
      <c r="J222" s="7">
        <f t="shared" si="6"/>
        <v>66764</v>
      </c>
      <c r="K222" s="7">
        <f t="shared" si="7"/>
        <v>0</v>
      </c>
      <c r="L222" s="5"/>
      <c r="M222" s="5">
        <v>19</v>
      </c>
      <c r="N222" s="5" t="s">
        <v>62</v>
      </c>
      <c r="O222" s="5" t="s">
        <v>710</v>
      </c>
      <c r="P222" s="5"/>
    </row>
    <row r="223" spans="1:16" ht="14" customHeight="1">
      <c r="A223" s="6" t="s">
        <v>799</v>
      </c>
      <c r="B223" s="6" t="s">
        <v>16</v>
      </c>
      <c r="C223" s="6"/>
      <c r="D223" s="6" t="s">
        <v>800</v>
      </c>
      <c r="E223" s="6" t="s">
        <v>16</v>
      </c>
      <c r="F223" s="6" t="s">
        <v>61</v>
      </c>
      <c r="G223" s="11">
        <v>1</v>
      </c>
      <c r="H223" s="11">
        <v>1737800</v>
      </c>
      <c r="I223" s="12">
        <v>1737800</v>
      </c>
      <c r="J223" s="8">
        <f t="shared" si="6"/>
        <v>1737800</v>
      </c>
      <c r="K223" s="8">
        <f t="shared" si="7"/>
        <v>0</v>
      </c>
      <c r="L223" s="6"/>
      <c r="M223" s="6">
        <v>20</v>
      </c>
      <c r="N223" s="6" t="s">
        <v>801</v>
      </c>
      <c r="O223" s="6" t="s">
        <v>802</v>
      </c>
      <c r="P223" s="6"/>
    </row>
    <row r="224" spans="1:16" ht="14" customHeight="1">
      <c r="A224" s="5" t="s">
        <v>803</v>
      </c>
      <c r="B224" s="5" t="s">
        <v>16</v>
      </c>
      <c r="C224" s="5"/>
      <c r="D224" s="5" t="s">
        <v>804</v>
      </c>
      <c r="E224" s="5" t="s">
        <v>805</v>
      </c>
      <c r="F224" s="5" t="s">
        <v>61</v>
      </c>
      <c r="G224" s="9">
        <v>1</v>
      </c>
      <c r="H224" s="9">
        <v>449047</v>
      </c>
      <c r="I224" s="10">
        <v>449047</v>
      </c>
      <c r="J224" s="7">
        <f t="shared" si="6"/>
        <v>449047</v>
      </c>
      <c r="K224" s="7">
        <f t="shared" si="7"/>
        <v>0</v>
      </c>
      <c r="L224" s="5"/>
      <c r="M224" s="5">
        <v>20</v>
      </c>
      <c r="N224" s="5" t="s">
        <v>801</v>
      </c>
      <c r="O224" s="5" t="s">
        <v>802</v>
      </c>
      <c r="P224" s="5"/>
    </row>
    <row r="225" spans="1:16" ht="14" customHeight="1">
      <c r="A225" s="6" t="s">
        <v>806</v>
      </c>
      <c r="B225" s="6" t="s">
        <v>16</v>
      </c>
      <c r="C225" s="6"/>
      <c r="D225" s="6" t="s">
        <v>807</v>
      </c>
      <c r="E225" s="6" t="s">
        <v>808</v>
      </c>
      <c r="F225" s="6" t="s">
        <v>61</v>
      </c>
      <c r="G225" s="11">
        <v>1</v>
      </c>
      <c r="H225" s="11">
        <v>469110</v>
      </c>
      <c r="I225" s="12">
        <v>469110</v>
      </c>
      <c r="J225" s="8">
        <f t="shared" si="6"/>
        <v>469110</v>
      </c>
      <c r="K225" s="8">
        <f t="shared" si="7"/>
        <v>0</v>
      </c>
      <c r="L225" s="6"/>
      <c r="M225" s="6">
        <v>20</v>
      </c>
      <c r="N225" s="6" t="s">
        <v>801</v>
      </c>
      <c r="O225" s="6" t="s">
        <v>802</v>
      </c>
      <c r="P225" s="6"/>
    </row>
    <row r="226" spans="1:16" ht="14" customHeight="1">
      <c r="A226" s="5" t="s">
        <v>809</v>
      </c>
      <c r="B226" s="5" t="s">
        <v>16</v>
      </c>
      <c r="C226" s="5"/>
      <c r="D226" s="5" t="s">
        <v>810</v>
      </c>
      <c r="E226" s="5" t="s">
        <v>811</v>
      </c>
      <c r="F226" s="5" t="s">
        <v>61</v>
      </c>
      <c r="G226" s="9">
        <v>1</v>
      </c>
      <c r="H226" s="9">
        <v>360000</v>
      </c>
      <c r="I226" s="10">
        <v>360000</v>
      </c>
      <c r="J226" s="7">
        <f t="shared" si="6"/>
        <v>360000</v>
      </c>
      <c r="K226" s="7">
        <f t="shared" si="7"/>
        <v>0</v>
      </c>
      <c r="L226" s="5"/>
      <c r="M226" s="5">
        <v>20</v>
      </c>
      <c r="N226" s="5" t="s">
        <v>801</v>
      </c>
      <c r="O226" s="5" t="s">
        <v>802</v>
      </c>
      <c r="P226" s="5"/>
    </row>
    <row r="227" spans="1:16" ht="14" customHeight="1">
      <c r="A227" s="6" t="s">
        <v>812</v>
      </c>
      <c r="B227" s="6" t="s">
        <v>16</v>
      </c>
      <c r="C227" s="6"/>
      <c r="D227" s="6" t="s">
        <v>813</v>
      </c>
      <c r="E227" s="6" t="s">
        <v>814</v>
      </c>
      <c r="F227" s="6" t="s">
        <v>61</v>
      </c>
      <c r="G227" s="11">
        <v>1</v>
      </c>
      <c r="H227" s="11">
        <v>185000</v>
      </c>
      <c r="I227" s="12">
        <v>185000</v>
      </c>
      <c r="J227" s="8">
        <f t="shared" si="6"/>
        <v>185000</v>
      </c>
      <c r="K227" s="8">
        <f t="shared" si="7"/>
        <v>0</v>
      </c>
      <c r="L227" s="6"/>
      <c r="M227" s="6">
        <v>20</v>
      </c>
      <c r="N227" s="6" t="s">
        <v>801</v>
      </c>
      <c r="O227" s="6" t="s">
        <v>802</v>
      </c>
      <c r="P227" s="6"/>
    </row>
    <row r="228" spans="1:16" ht="14" customHeight="1">
      <c r="A228" s="5" t="s">
        <v>815</v>
      </c>
      <c r="B228" s="5" t="s">
        <v>16</v>
      </c>
      <c r="C228" s="5"/>
      <c r="D228" s="5" t="s">
        <v>816</v>
      </c>
      <c r="E228" s="5" t="s">
        <v>817</v>
      </c>
      <c r="F228" s="5" t="s">
        <v>61</v>
      </c>
      <c r="G228" s="9">
        <v>1</v>
      </c>
      <c r="H228" s="9">
        <v>242907</v>
      </c>
      <c r="I228" s="10">
        <v>242907</v>
      </c>
      <c r="J228" s="7">
        <f t="shared" si="6"/>
        <v>242907</v>
      </c>
      <c r="K228" s="7">
        <f t="shared" si="7"/>
        <v>0</v>
      </c>
      <c r="L228" s="5"/>
      <c r="M228" s="5">
        <v>20</v>
      </c>
      <c r="N228" s="5" t="s">
        <v>801</v>
      </c>
      <c r="O228" s="5" t="s">
        <v>802</v>
      </c>
      <c r="P228" s="5"/>
    </row>
    <row r="229" spans="1:16" ht="14" customHeight="1">
      <c r="A229" s="6" t="s">
        <v>818</v>
      </c>
      <c r="B229" s="6" t="s">
        <v>16</v>
      </c>
      <c r="C229" s="6"/>
      <c r="D229" s="6" t="s">
        <v>819</v>
      </c>
      <c r="E229" s="6" t="s">
        <v>820</v>
      </c>
      <c r="F229" s="6" t="s">
        <v>61</v>
      </c>
      <c r="G229" s="11">
        <v>1</v>
      </c>
      <c r="H229" s="11">
        <v>162000</v>
      </c>
      <c r="I229" s="12">
        <v>162000</v>
      </c>
      <c r="J229" s="8">
        <f t="shared" si="6"/>
        <v>162000</v>
      </c>
      <c r="K229" s="8">
        <f t="shared" si="7"/>
        <v>0</v>
      </c>
      <c r="L229" s="6"/>
      <c r="M229" s="6">
        <v>20</v>
      </c>
      <c r="N229" s="6" t="s">
        <v>801</v>
      </c>
      <c r="O229" s="6" t="s">
        <v>802</v>
      </c>
      <c r="P229" s="6"/>
    </row>
    <row r="230" spans="1:16" ht="14" customHeight="1">
      <c r="A230" s="5" t="s">
        <v>821</v>
      </c>
      <c r="B230" s="5" t="s">
        <v>17</v>
      </c>
      <c r="C230" s="5"/>
      <c r="D230" s="5" t="s">
        <v>822</v>
      </c>
      <c r="E230" s="5" t="s">
        <v>17</v>
      </c>
      <c r="F230" s="5" t="s">
        <v>61</v>
      </c>
      <c r="G230" s="9">
        <v>1</v>
      </c>
      <c r="H230" s="9">
        <v>11319467</v>
      </c>
      <c r="I230" s="10">
        <v>11319467</v>
      </c>
      <c r="J230" s="7">
        <f t="shared" si="6"/>
        <v>11319467</v>
      </c>
      <c r="K230" s="7">
        <f t="shared" si="7"/>
        <v>0</v>
      </c>
      <c r="L230" s="5"/>
      <c r="M230" s="5">
        <v>20</v>
      </c>
      <c r="N230" s="5" t="s">
        <v>801</v>
      </c>
      <c r="O230" s="5" t="s">
        <v>823</v>
      </c>
      <c r="P230" s="5"/>
    </row>
    <row r="231" spans="1:16" ht="14" customHeight="1">
      <c r="A231" s="6" t="s">
        <v>824</v>
      </c>
      <c r="B231" s="6" t="s">
        <v>18</v>
      </c>
      <c r="C231" s="6"/>
      <c r="D231" s="6" t="s">
        <v>825</v>
      </c>
      <c r="E231" s="6" t="s">
        <v>826</v>
      </c>
      <c r="F231" s="6" t="s">
        <v>61</v>
      </c>
      <c r="G231" s="11">
        <v>1</v>
      </c>
      <c r="H231" s="11">
        <v>1991595</v>
      </c>
      <c r="I231" s="12">
        <v>1991595</v>
      </c>
      <c r="J231" s="8">
        <f t="shared" si="6"/>
        <v>1991595</v>
      </c>
      <c r="K231" s="8">
        <f t="shared" si="7"/>
        <v>0</v>
      </c>
      <c r="L231" s="6"/>
      <c r="M231" s="6">
        <v>20</v>
      </c>
      <c r="N231" s="6" t="s">
        <v>801</v>
      </c>
      <c r="O231" s="6" t="s">
        <v>823</v>
      </c>
      <c r="P231" s="6"/>
    </row>
    <row r="232" spans="1:16" ht="14" customHeight="1">
      <c r="A232" s="5" t="s">
        <v>827</v>
      </c>
      <c r="B232" s="5" t="s">
        <v>18</v>
      </c>
      <c r="C232" s="5"/>
      <c r="D232" s="5" t="s">
        <v>828</v>
      </c>
      <c r="E232" s="5" t="s">
        <v>829</v>
      </c>
      <c r="F232" s="5" t="s">
        <v>61</v>
      </c>
      <c r="G232" s="9">
        <v>1</v>
      </c>
      <c r="H232" s="9">
        <v>6738229</v>
      </c>
      <c r="I232" s="10">
        <v>6738229</v>
      </c>
      <c r="J232" s="7">
        <f t="shared" si="6"/>
        <v>6738229</v>
      </c>
      <c r="K232" s="7">
        <f t="shared" si="7"/>
        <v>0</v>
      </c>
      <c r="L232" s="5"/>
      <c r="M232" s="5">
        <v>20</v>
      </c>
      <c r="N232" s="5" t="s">
        <v>801</v>
      </c>
      <c r="O232" s="5" t="s">
        <v>23</v>
      </c>
      <c r="P232" s="5"/>
    </row>
  </sheetData>
  <phoneticPr fontId="9" type="noConversion"/>
  <conditionalFormatting sqref="K6:K232">
    <cfRule type="cellIs" dxfId="0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75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32" customWidth="1"/>
    <col min="3" max="3" width="145" customWidth="1"/>
  </cols>
  <sheetData>
    <row r="2" spans="1:3" ht="19.200000762939453" customHeight="1">
      <c r="A2" s="1" t="s">
        <v>830</v>
      </c>
    </row>
    <row r="5" spans="1:3" ht="14" customHeight="1">
      <c r="A5" s="2" t="s">
        <v>54</v>
      </c>
      <c r="B5" s="2" t="s">
        <v>831</v>
      </c>
      <c r="C5" s="2" t="s">
        <v>832</v>
      </c>
    </row>
    <row r="6" spans="1:3" ht="14" customHeight="1">
      <c r="A6" s="5"/>
      <c r="B6" s="5" t="s">
        <v>833</v>
      </c>
      <c r="C6" s="5" t="s">
        <v>834</v>
      </c>
    </row>
    <row r="7" spans="1:3" ht="14" customHeight="1">
      <c r="A7" s="6"/>
      <c r="B7" s="6" t="s">
        <v>835</v>
      </c>
      <c r="C7" s="6" t="s">
        <v>836</v>
      </c>
    </row>
    <row r="8" spans="1:3" ht="14" customHeight="1">
      <c r="A8" s="5"/>
      <c r="B8" s="5" t="s">
        <v>837</v>
      </c>
      <c r="C8" s="5" t="s">
        <v>838</v>
      </c>
    </row>
    <row r="9" spans="1:3" ht="14" customHeight="1">
      <c r="A9" s="6">
        <v>1</v>
      </c>
      <c r="B9" s="6" t="s">
        <v>839</v>
      </c>
      <c r="C9" s="6" t="s">
        <v>840</v>
      </c>
    </row>
    <row r="10" spans="1:3" ht="14" customHeight="1">
      <c r="A10" s="5">
        <v>1</v>
      </c>
      <c r="B10" s="5" t="s">
        <v>839</v>
      </c>
      <c r="C10" s="5" t="s">
        <v>841</v>
      </c>
    </row>
    <row r="11" spans="1:3" ht="14" customHeight="1">
      <c r="A11" s="6">
        <v>1</v>
      </c>
      <c r="B11" s="6" t="s">
        <v>839</v>
      </c>
      <c r="C11" s="6" t="s">
        <v>842</v>
      </c>
    </row>
    <row r="12" spans="1:3" ht="14" customHeight="1">
      <c r="A12" s="5">
        <v>1</v>
      </c>
      <c r="B12" s="5" t="s">
        <v>839</v>
      </c>
      <c r="C12" s="5" t="s">
        <v>843</v>
      </c>
    </row>
    <row r="13" spans="1:3" ht="14" customHeight="1">
      <c r="A13" s="6">
        <v>1</v>
      </c>
      <c r="B13" s="6" t="s">
        <v>839</v>
      </c>
      <c r="C13" s="6" t="s">
        <v>844</v>
      </c>
    </row>
    <row r="14" spans="1:3" ht="14" customHeight="1">
      <c r="A14" s="5">
        <v>1</v>
      </c>
      <c r="B14" s="5" t="s">
        <v>839</v>
      </c>
      <c r="C14" s="5" t="s">
        <v>845</v>
      </c>
    </row>
    <row r="15" spans="1:3" ht="14" customHeight="1">
      <c r="A15" s="6">
        <v>1</v>
      </c>
      <c r="B15" s="6" t="s">
        <v>839</v>
      </c>
      <c r="C15" s="6" t="s">
        <v>846</v>
      </c>
    </row>
    <row r="16" spans="1:3" ht="14" customHeight="1">
      <c r="A16" s="5">
        <v>1</v>
      </c>
      <c r="B16" s="5" t="s">
        <v>839</v>
      </c>
      <c r="C16" s="5" t="s">
        <v>847</v>
      </c>
    </row>
    <row r="17" spans="1:3" ht="14" customHeight="1">
      <c r="A17" s="6">
        <v>1</v>
      </c>
      <c r="B17" s="6" t="s">
        <v>839</v>
      </c>
      <c r="C17" s="6" t="s">
        <v>848</v>
      </c>
    </row>
    <row r="18" spans="1:3" ht="14" customHeight="1">
      <c r="A18" s="5">
        <v>1</v>
      </c>
      <c r="B18" s="5" t="s">
        <v>839</v>
      </c>
      <c r="C18" s="5" t="s">
        <v>849</v>
      </c>
    </row>
    <row r="19" spans="1:3" ht="14" customHeight="1">
      <c r="A19" s="6">
        <v>1</v>
      </c>
      <c r="B19" s="6" t="s">
        <v>839</v>
      </c>
      <c r="C19" s="6" t="s">
        <v>850</v>
      </c>
    </row>
    <row r="20" spans="1:3" ht="14" customHeight="1">
      <c r="A20" s="5">
        <v>1</v>
      </c>
      <c r="B20" s="5" t="s">
        <v>839</v>
      </c>
      <c r="C20" s="5" t="s">
        <v>851</v>
      </c>
    </row>
    <row r="21" spans="1:3" ht="14" customHeight="1">
      <c r="A21" s="6">
        <v>1</v>
      </c>
      <c r="B21" s="6" t="s">
        <v>839</v>
      </c>
      <c r="C21" s="6" t="s">
        <v>852</v>
      </c>
    </row>
    <row r="22" spans="1:3" ht="14" customHeight="1">
      <c r="A22" s="5">
        <v>1</v>
      </c>
      <c r="B22" s="5" t="s">
        <v>839</v>
      </c>
      <c r="C22" s="5" t="s">
        <v>853</v>
      </c>
    </row>
    <row r="23" spans="1:3" ht="14" customHeight="1">
      <c r="A23" s="6">
        <v>1</v>
      </c>
      <c r="B23" s="6" t="s">
        <v>839</v>
      </c>
      <c r="C23" s="6" t="s">
        <v>854</v>
      </c>
    </row>
    <row r="24" spans="1:3" ht="14" customHeight="1">
      <c r="A24" s="5">
        <v>1</v>
      </c>
      <c r="B24" s="5" t="s">
        <v>839</v>
      </c>
      <c r="C24" s="5" t="s">
        <v>855</v>
      </c>
    </row>
    <row r="25" spans="1:3" ht="14" customHeight="1">
      <c r="A25" s="6">
        <v>2</v>
      </c>
      <c r="B25" s="6" t="s">
        <v>839</v>
      </c>
      <c r="C25" s="6" t="s">
        <v>856</v>
      </c>
    </row>
    <row r="26" spans="1:3" ht="14" customHeight="1">
      <c r="A26" s="5">
        <v>2</v>
      </c>
      <c r="B26" s="5" t="s">
        <v>839</v>
      </c>
      <c r="C26" s="5" t="s">
        <v>857</v>
      </c>
    </row>
    <row r="27" spans="1:3" ht="14" customHeight="1">
      <c r="A27" s="6">
        <v>2</v>
      </c>
      <c r="B27" s="6" t="s">
        <v>839</v>
      </c>
      <c r="C27" s="6" t="s">
        <v>858</v>
      </c>
    </row>
    <row r="28" spans="1:3" ht="14" customHeight="1">
      <c r="A28" s="5">
        <v>2</v>
      </c>
      <c r="B28" s="5" t="s">
        <v>839</v>
      </c>
      <c r="C28" s="5" t="s">
        <v>859</v>
      </c>
    </row>
    <row r="29" spans="1:3" ht="14" customHeight="1">
      <c r="A29" s="6">
        <v>2</v>
      </c>
      <c r="B29" s="6" t="s">
        <v>839</v>
      </c>
      <c r="C29" s="6" t="s">
        <v>860</v>
      </c>
    </row>
    <row r="30" spans="1:3" ht="14" customHeight="1">
      <c r="A30" s="5">
        <v>2</v>
      </c>
      <c r="B30" s="5" t="s">
        <v>839</v>
      </c>
      <c r="C30" s="5" t="s">
        <v>861</v>
      </c>
    </row>
    <row r="31" spans="1:3" ht="14" customHeight="1">
      <c r="A31" s="6">
        <v>2</v>
      </c>
      <c r="B31" s="6" t="s">
        <v>839</v>
      </c>
      <c r="C31" s="6" t="s">
        <v>862</v>
      </c>
    </row>
    <row r="32" spans="1:3" ht="14" customHeight="1">
      <c r="A32" s="5">
        <v>2</v>
      </c>
      <c r="B32" s="5" t="s">
        <v>839</v>
      </c>
      <c r="C32" s="5" t="s">
        <v>863</v>
      </c>
    </row>
    <row r="33" spans="1:3" ht="14" customHeight="1">
      <c r="A33" s="6">
        <v>2</v>
      </c>
      <c r="B33" s="6" t="s">
        <v>839</v>
      </c>
      <c r="C33" s="6" t="s">
        <v>864</v>
      </c>
    </row>
    <row r="34" spans="1:3" ht="14" customHeight="1">
      <c r="A34" s="5">
        <v>2</v>
      </c>
      <c r="B34" s="5" t="s">
        <v>839</v>
      </c>
      <c r="C34" s="5" t="s">
        <v>865</v>
      </c>
    </row>
    <row r="35" spans="1:3" ht="14" customHeight="1">
      <c r="A35" s="6">
        <v>2</v>
      </c>
      <c r="B35" s="6" t="s">
        <v>839</v>
      </c>
      <c r="C35" s="6" t="s">
        <v>866</v>
      </c>
    </row>
    <row r="36" spans="1:3" ht="14" customHeight="1">
      <c r="A36" s="5">
        <v>2</v>
      </c>
      <c r="B36" s="5" t="s">
        <v>839</v>
      </c>
      <c r="C36" s="5" t="s">
        <v>867</v>
      </c>
    </row>
    <row r="37" spans="1:3" ht="14" customHeight="1">
      <c r="A37" s="6">
        <v>2</v>
      </c>
      <c r="B37" s="6" t="s">
        <v>839</v>
      </c>
      <c r="C37" s="6" t="s">
        <v>868</v>
      </c>
    </row>
    <row r="38" spans="1:3" ht="14" customHeight="1">
      <c r="A38" s="5">
        <v>2</v>
      </c>
      <c r="B38" s="5" t="s">
        <v>839</v>
      </c>
      <c r="C38" s="5" t="s">
        <v>869</v>
      </c>
    </row>
    <row r="39" spans="1:3" ht="14" customHeight="1">
      <c r="A39" s="6">
        <v>2</v>
      </c>
      <c r="B39" s="6" t="s">
        <v>839</v>
      </c>
      <c r="C39" s="6" t="s">
        <v>870</v>
      </c>
    </row>
    <row r="40" spans="1:3" ht="14" customHeight="1">
      <c r="A40" s="5">
        <v>2</v>
      </c>
      <c r="B40" s="5" t="s">
        <v>839</v>
      </c>
      <c r="C40" s="5" t="s">
        <v>871</v>
      </c>
    </row>
    <row r="41" spans="1:3" ht="14" customHeight="1">
      <c r="A41" s="6">
        <v>2</v>
      </c>
      <c r="B41" s="6" t="s">
        <v>839</v>
      </c>
      <c r="C41" s="6" t="s">
        <v>872</v>
      </c>
    </row>
    <row r="42" spans="1:3" ht="14" customHeight="1">
      <c r="A42" s="5">
        <v>2</v>
      </c>
      <c r="B42" s="5" t="s">
        <v>839</v>
      </c>
      <c r="C42" s="5" t="s">
        <v>873</v>
      </c>
    </row>
    <row r="43" spans="1:3" ht="14" customHeight="1">
      <c r="A43" s="6">
        <v>2</v>
      </c>
      <c r="B43" s="6" t="s">
        <v>839</v>
      </c>
      <c r="C43" s="6" t="s">
        <v>874</v>
      </c>
    </row>
    <row r="44" spans="1:3" ht="14" customHeight="1">
      <c r="A44" s="5">
        <v>2</v>
      </c>
      <c r="B44" s="5" t="s">
        <v>839</v>
      </c>
      <c r="C44" s="5" t="s">
        <v>875</v>
      </c>
    </row>
    <row r="45" spans="1:3" ht="14" customHeight="1">
      <c r="A45" s="6">
        <v>2</v>
      </c>
      <c r="B45" s="6" t="s">
        <v>839</v>
      </c>
      <c r="C45" s="6" t="s">
        <v>876</v>
      </c>
    </row>
    <row r="46" spans="1:3" ht="14" customHeight="1">
      <c r="A46" s="5">
        <v>2</v>
      </c>
      <c r="B46" s="5" t="s">
        <v>839</v>
      </c>
      <c r="C46" s="5" t="s">
        <v>877</v>
      </c>
    </row>
    <row r="47" spans="1:3" ht="14" customHeight="1">
      <c r="A47" s="6">
        <v>2</v>
      </c>
      <c r="B47" s="6" t="s">
        <v>839</v>
      </c>
      <c r="C47" s="6" t="s">
        <v>878</v>
      </c>
    </row>
    <row r="48" spans="1:3" ht="14" customHeight="1">
      <c r="A48" s="5">
        <v>2</v>
      </c>
      <c r="B48" s="5" t="s">
        <v>839</v>
      </c>
      <c r="C48" s="5" t="s">
        <v>879</v>
      </c>
    </row>
    <row r="49" spans="1:3" ht="14" customHeight="1">
      <c r="A49" s="6">
        <v>2</v>
      </c>
      <c r="B49" s="6" t="s">
        <v>839</v>
      </c>
      <c r="C49" s="6" t="s">
        <v>880</v>
      </c>
    </row>
    <row r="50" spans="1:3" ht="14" customHeight="1">
      <c r="A50" s="5">
        <v>2</v>
      </c>
      <c r="B50" s="5" t="s">
        <v>839</v>
      </c>
      <c r="C50" s="5" t="s">
        <v>879</v>
      </c>
    </row>
    <row r="51" spans="1:3" ht="14" customHeight="1">
      <c r="A51" s="6">
        <v>2</v>
      </c>
      <c r="B51" s="6" t="s">
        <v>839</v>
      </c>
      <c r="C51" s="6" t="s">
        <v>881</v>
      </c>
    </row>
    <row r="52" spans="1:3" ht="14" customHeight="1">
      <c r="A52" s="5">
        <v>2</v>
      </c>
      <c r="B52" s="5" t="s">
        <v>839</v>
      </c>
      <c r="C52" s="5" t="s">
        <v>882</v>
      </c>
    </row>
    <row r="53" spans="1:3" ht="14" customHeight="1">
      <c r="A53" s="6">
        <v>2</v>
      </c>
      <c r="B53" s="6" t="s">
        <v>839</v>
      </c>
      <c r="C53" s="6" t="s">
        <v>883</v>
      </c>
    </row>
    <row r="54" spans="1:3" ht="14" customHeight="1">
      <c r="A54" s="5">
        <v>2</v>
      </c>
      <c r="B54" s="5" t="s">
        <v>839</v>
      </c>
      <c r="C54" s="5" t="s">
        <v>884</v>
      </c>
    </row>
    <row r="55" spans="1:3" ht="14" customHeight="1">
      <c r="A55" s="6">
        <v>2</v>
      </c>
      <c r="B55" s="6" t="s">
        <v>839</v>
      </c>
      <c r="C55" s="6" t="s">
        <v>885</v>
      </c>
    </row>
    <row r="56" spans="1:3" ht="14" customHeight="1">
      <c r="A56" s="5">
        <v>2</v>
      </c>
      <c r="B56" s="5" t="s">
        <v>839</v>
      </c>
      <c r="C56" s="5" t="s">
        <v>886</v>
      </c>
    </row>
    <row r="57" spans="1:3" ht="14" customHeight="1">
      <c r="A57" s="6">
        <v>3</v>
      </c>
      <c r="B57" s="6" t="s">
        <v>839</v>
      </c>
      <c r="C57" s="6" t="s">
        <v>887</v>
      </c>
    </row>
    <row r="58" spans="1:3" ht="14" customHeight="1">
      <c r="A58" s="5">
        <v>3</v>
      </c>
      <c r="B58" s="5" t="s">
        <v>839</v>
      </c>
      <c r="C58" s="5" t="s">
        <v>888</v>
      </c>
    </row>
    <row r="59" spans="1:3" ht="14" customHeight="1">
      <c r="A59" s="6">
        <v>3</v>
      </c>
      <c r="B59" s="6" t="s">
        <v>839</v>
      </c>
      <c r="C59" s="6" t="s">
        <v>889</v>
      </c>
    </row>
    <row r="60" spans="1:3" ht="14" customHeight="1">
      <c r="A60" s="5">
        <v>3</v>
      </c>
      <c r="B60" s="5" t="s">
        <v>839</v>
      </c>
      <c r="C60" s="5" t="s">
        <v>890</v>
      </c>
    </row>
    <row r="61" spans="1:3" ht="14" customHeight="1">
      <c r="A61" s="6">
        <v>3</v>
      </c>
      <c r="B61" s="6" t="s">
        <v>839</v>
      </c>
      <c r="C61" s="6" t="s">
        <v>891</v>
      </c>
    </row>
    <row r="62" spans="1:3" ht="14" customHeight="1">
      <c r="A62" s="5">
        <v>3</v>
      </c>
      <c r="B62" s="5" t="s">
        <v>839</v>
      </c>
      <c r="C62" s="5" t="s">
        <v>892</v>
      </c>
    </row>
    <row r="63" spans="1:3" ht="14" customHeight="1">
      <c r="A63" s="6">
        <v>3</v>
      </c>
      <c r="B63" s="6" t="s">
        <v>839</v>
      </c>
      <c r="C63" s="6" t="s">
        <v>893</v>
      </c>
    </row>
    <row r="64" spans="1:3" ht="14" customHeight="1">
      <c r="A64" s="5">
        <v>3</v>
      </c>
      <c r="B64" s="5" t="s">
        <v>839</v>
      </c>
      <c r="C64" s="5" t="s">
        <v>894</v>
      </c>
    </row>
    <row r="65" spans="1:3" ht="14" customHeight="1">
      <c r="A65" s="6">
        <v>3</v>
      </c>
      <c r="B65" s="6" t="s">
        <v>839</v>
      </c>
      <c r="C65" s="6" t="s">
        <v>895</v>
      </c>
    </row>
    <row r="66" spans="1:3" ht="14" customHeight="1">
      <c r="A66" s="5">
        <v>3</v>
      </c>
      <c r="B66" s="5" t="s">
        <v>839</v>
      </c>
      <c r="C66" s="5" t="s">
        <v>896</v>
      </c>
    </row>
    <row r="67" spans="1:3" ht="14" customHeight="1">
      <c r="A67" s="6">
        <v>3</v>
      </c>
      <c r="B67" s="6" t="s">
        <v>839</v>
      </c>
      <c r="C67" s="6" t="s">
        <v>897</v>
      </c>
    </row>
    <row r="68" spans="1:3" ht="14" customHeight="1">
      <c r="A68" s="5">
        <v>3</v>
      </c>
      <c r="B68" s="5" t="s">
        <v>839</v>
      </c>
      <c r="C68" s="5" t="s">
        <v>898</v>
      </c>
    </row>
    <row r="69" spans="1:3" ht="14" customHeight="1">
      <c r="A69" s="6">
        <v>3</v>
      </c>
      <c r="B69" s="6" t="s">
        <v>839</v>
      </c>
      <c r="C69" s="6" t="s">
        <v>899</v>
      </c>
    </row>
    <row r="70" spans="1:3" ht="14" customHeight="1">
      <c r="A70" s="5">
        <v>3</v>
      </c>
      <c r="B70" s="5" t="s">
        <v>839</v>
      </c>
      <c r="C70" s="5" t="s">
        <v>900</v>
      </c>
    </row>
    <row r="71" spans="1:3" ht="14" customHeight="1">
      <c r="A71" s="6">
        <v>3</v>
      </c>
      <c r="B71" s="6" t="s">
        <v>839</v>
      </c>
      <c r="C71" s="6" t="s">
        <v>901</v>
      </c>
    </row>
    <row r="72" spans="1:3" ht="14" customHeight="1">
      <c r="A72" s="5">
        <v>3</v>
      </c>
      <c r="B72" s="5" t="s">
        <v>839</v>
      </c>
      <c r="C72" s="5" t="s">
        <v>902</v>
      </c>
    </row>
    <row r="73" spans="1:3" ht="14" customHeight="1">
      <c r="A73" s="6">
        <v>3</v>
      </c>
      <c r="B73" s="6" t="s">
        <v>839</v>
      </c>
      <c r="C73" s="6" t="s">
        <v>903</v>
      </c>
    </row>
    <row r="74" spans="1:3" ht="14" customHeight="1">
      <c r="A74" s="5">
        <v>3</v>
      </c>
      <c r="B74" s="5" t="s">
        <v>839</v>
      </c>
      <c r="C74" s="5" t="s">
        <v>904</v>
      </c>
    </row>
    <row r="75" spans="1:3" ht="14" customHeight="1">
      <c r="A75" s="6">
        <v>1</v>
      </c>
      <c r="B75" s="6" t="s">
        <v>905</v>
      </c>
      <c r="C75" s="6" t="s">
        <v>906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報價總覽</vt:lpstr>
      <vt:lpstr>報價明細</vt:lpstr>
      <vt:lpstr>備註與來源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宗群 陳</cp:lastModifiedBy>
  <dcterms:modified xsi:type="dcterms:W3CDTF">2026-10-06T13:01:02Z</dcterms:modified>
</cp:coreProperties>
</file>