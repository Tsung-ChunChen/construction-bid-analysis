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ommychen/Documents/New project/outputs/營造報價比較/"/>
    </mc:Choice>
  </mc:AlternateContent>
  <xr:revisionPtr revIDLastSave="0" documentId="13_ncr:1_{AEE99F55-217D-EC4B-8942-9D87129B7554}" xr6:coauthVersionLast="47" xr6:coauthVersionMax="47" xr10:uidLastSave="{00000000-0000-0000-0000-000000000000}"/>
  <bookViews>
    <workbookView xWindow="0" yWindow="680" windowWidth="28800" windowHeight="16480" activeTab="1" xr2:uid="{00000000-000D-0000-FFFF-FFFF00000000}"/>
  </bookViews>
  <sheets>
    <sheet name="報價總覽" sheetId="1" r:id="rId1"/>
    <sheet name="報價明細" sheetId="2" r:id="rId2"/>
    <sheet name="備註與來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6" i="2" l="1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21" i="1"/>
  <c r="D21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</calcChain>
</file>

<file path=xl/sharedStrings.xml><?xml version="1.0" encoding="utf-8"?>
<sst xmlns="http://schemas.openxmlformats.org/spreadsheetml/2006/main" count="1513" uniqueCount="550">
  <si>
    <t>基益營造工程報價整理</t>
  </si>
  <si>
    <t>新臺幣元。原分類與費用完整保留；明細可篩選並追溯PDF頁碼。</t>
  </si>
  <si>
    <t>原總表分類</t>
  </si>
  <si>
    <t>原列金額</t>
  </si>
  <si>
    <t>明細彙總</t>
  </si>
  <si>
    <t>彙總減原列</t>
  </si>
  <si>
    <t>說明</t>
  </si>
  <si>
    <t>假設工程</t>
  </si>
  <si>
    <t>結構工程</t>
  </si>
  <si>
    <t>鋼構工程</t>
  </si>
  <si>
    <t>泥作裝修工程</t>
  </si>
  <si>
    <t>外部裝修工程</t>
  </si>
  <si>
    <t>門窗工程</t>
  </si>
  <si>
    <t>設備工程</t>
  </si>
  <si>
    <t>雜項工程</t>
  </si>
  <si>
    <t>綠化植栽工程</t>
  </si>
  <si>
    <t>勞工安全衛生管理費（0.8%）</t>
  </si>
  <si>
    <t>工程營造保險費（0.5%）</t>
  </si>
  <si>
    <t>管理費及利潤（8%）</t>
  </si>
  <si>
    <t>加值營業稅（5%）</t>
  </si>
  <si>
    <t>空氣污染防治費</t>
  </si>
  <si>
    <t>原報價總計</t>
  </si>
  <si>
    <t>原總價保留，不以重算結果覆蓋</t>
  </si>
  <si>
    <t>稅前合計</t>
  </si>
  <si>
    <t>不含營業稅；基益另列空污費</t>
  </si>
  <si>
    <t>營業稅</t>
  </si>
  <si>
    <t>原報價稅額</t>
  </si>
  <si>
    <t>空污費</t>
  </si>
  <si>
    <t>是否包含及課稅口徑依原單</t>
  </si>
  <si>
    <t>報價日期</t>
  </si>
  <si>
    <t>2026-04-01</t>
  </si>
  <si>
    <t>PDF日期2026/4/1</t>
  </si>
  <si>
    <t>有效期限</t>
  </si>
  <si>
    <t>文件未列</t>
  </si>
  <si>
    <t>原報價條件</t>
  </si>
  <si>
    <t>明細筆數</t>
  </si>
  <si>
    <t>含明細及僅在總表列示的費用</t>
  </si>
  <si>
    <t>報價日期較另兩家早約半年，數量與部分規格差異大，須確認圖說版本及重報價。</t>
  </si>
  <si>
    <t>核對採原單顯示數量及單價四捨五入至元；小額差異可能源自底層精度。</t>
  </si>
  <si>
    <t>原分項小計（不再加總）</t>
  </si>
  <si>
    <t>分類／PDF頁</t>
  </si>
  <si>
    <t>防水，屋面工程</t>
  </si>
  <si>
    <t>泥作裝修工程／p4</t>
  </si>
  <si>
    <t>室內地坪工程</t>
  </si>
  <si>
    <t>室內牆面工程</t>
  </si>
  <si>
    <t>泥作裝修工程／p5</t>
  </si>
  <si>
    <t>室內平頂工程</t>
  </si>
  <si>
    <t>門窗工程本體</t>
  </si>
  <si>
    <t>門窗工程／p7</t>
  </si>
  <si>
    <t>玻璃工程</t>
  </si>
  <si>
    <t>崁縫工程</t>
  </si>
  <si>
    <t>Silicone工程</t>
  </si>
  <si>
    <t>總表附加費小計</t>
  </si>
  <si>
    <t>安衛＋保險＋管理利潤；原小計比三筆加總多1元</t>
  </si>
  <si>
    <t>報價明細（新臺幣元）</t>
  </si>
  <si>
    <t>藍字為原報價數值；空白金額代表未列價。乘算僅供核對，不取代原複價。</t>
  </si>
  <si>
    <t>資料ID</t>
  </si>
  <si>
    <t>原分類</t>
  </si>
  <si>
    <t>子分類</t>
  </si>
  <si>
    <t>原項次</t>
  </si>
  <si>
    <t>工程項目／規格</t>
  </si>
  <si>
    <t>單位</t>
  </si>
  <si>
    <t>數量</t>
  </si>
  <si>
    <t>原單價</t>
  </si>
  <si>
    <t>原複價</t>
  </si>
  <si>
    <t>數量×單價</t>
  </si>
  <si>
    <t>原複價減乘算</t>
  </si>
  <si>
    <t>品牌／原備註</t>
  </si>
  <si>
    <t>PDF頁</t>
  </si>
  <si>
    <t>性質</t>
  </si>
  <si>
    <t>統一比較分類</t>
  </si>
  <si>
    <t>核對說明</t>
  </si>
  <si>
    <t>jiyi-001</t>
  </si>
  <si>
    <t>1</t>
  </si>
  <si>
    <t>基地整地及廢物運棄</t>
  </si>
  <si>
    <t>式</t>
  </si>
  <si>
    <t>工程明細</t>
  </si>
  <si>
    <t>jiyi-002</t>
  </si>
  <si>
    <t>2</t>
  </si>
  <si>
    <t>工地施工圍籬（含防溢座及噴漆）</t>
  </si>
  <si>
    <t>M</t>
  </si>
  <si>
    <t>jiyi-003</t>
  </si>
  <si>
    <t>3</t>
  </si>
  <si>
    <t>工.地進出活動大門</t>
  </si>
  <si>
    <t>座</t>
  </si>
  <si>
    <t>jiyi-004</t>
  </si>
  <si>
    <t>4</t>
  </si>
  <si>
    <t>安全警示燈、工地安全守則、工程告示牌</t>
  </si>
  <si>
    <t>jiyi-005</t>
  </si>
  <si>
    <t>5</t>
  </si>
  <si>
    <t>臨時活動廁所</t>
  </si>
  <si>
    <t>jiyi-006</t>
  </si>
  <si>
    <t>6</t>
  </si>
  <si>
    <t>申請臨時水，電及工地配管、拉線費</t>
  </si>
  <si>
    <t>威向水電</t>
  </si>
  <si>
    <t>原單未列金額；不視為零元或已含。</t>
  </si>
  <si>
    <t>jiyi-007</t>
  </si>
  <si>
    <t>7</t>
  </si>
  <si>
    <t>臨時水及通訊.電費使用費</t>
  </si>
  <si>
    <t>月</t>
  </si>
  <si>
    <t>業主自理</t>
  </si>
  <si>
    <t>jiyi-008</t>
  </si>
  <si>
    <t>8</t>
  </si>
  <si>
    <t>結構體完成/完工交屋 清潔費</t>
  </si>
  <si>
    <t>建坪</t>
  </si>
  <si>
    <t>jiyi-009</t>
  </si>
  <si>
    <t>9</t>
  </si>
  <si>
    <t>外觀及交屋清潔費</t>
  </si>
  <si>
    <t>jiyi-010</t>
  </si>
  <si>
    <t>10</t>
  </si>
  <si>
    <t>週邊環境公共設施維護費</t>
  </si>
  <si>
    <t>jiyi-011</t>
  </si>
  <si>
    <t>11</t>
  </si>
  <si>
    <t>垃圾管道</t>
  </si>
  <si>
    <t>jiyi-012</t>
  </si>
  <si>
    <t>12</t>
  </si>
  <si>
    <t>臨時道路補修及維護</t>
  </si>
  <si>
    <t>jiyi-013</t>
  </si>
  <si>
    <t>13</t>
  </si>
  <si>
    <t>勘驗/竣工圖繪製/使用執照申請費</t>
  </si>
  <si>
    <t>jiyi-014</t>
  </si>
  <si>
    <t>14</t>
  </si>
  <si>
    <t>開工、上樑、各式典禮及其他未列之雜項費用</t>
  </si>
  <si>
    <t>jiyi-015</t>
  </si>
  <si>
    <t>15</t>
  </si>
  <si>
    <t>營造廠技師現場勘驗簽証費</t>
  </si>
  <si>
    <t>次</t>
  </si>
  <si>
    <t>jiyi-016</t>
  </si>
  <si>
    <t>16</t>
  </si>
  <si>
    <t>建築物營建廢棄物處理費</t>
  </si>
  <si>
    <t>M3</t>
  </si>
  <si>
    <t>jiyi-017</t>
  </si>
  <si>
    <t>17</t>
  </si>
  <si>
    <t>建築物營建廢棄物申報/完工證明</t>
  </si>
  <si>
    <t>含規費</t>
  </si>
  <si>
    <t>jiyi-018</t>
  </si>
  <si>
    <t>18</t>
  </si>
  <si>
    <t>逕流廢水申報</t>
  </si>
  <si>
    <t>jiyi-019</t>
  </si>
  <si>
    <t>19</t>
  </si>
  <si>
    <t>工務所設置及雜支</t>
  </si>
  <si>
    <t>jiyi-020</t>
  </si>
  <si>
    <t>20</t>
  </si>
  <si>
    <t>品管及材料試驗費</t>
  </si>
  <si>
    <t>jiyi-021</t>
  </si>
  <si>
    <t>21</t>
  </si>
  <si>
    <t>臨時工</t>
  </si>
  <si>
    <t>jiyi-022</t>
  </si>
  <si>
    <t>放様</t>
  </si>
  <si>
    <t>M2</t>
  </si>
  <si>
    <t>土方及結構工程</t>
  </si>
  <si>
    <t>jiyi-023</t>
  </si>
  <si>
    <t>挖土方</t>
  </si>
  <si>
    <t>jiyi-024</t>
  </si>
  <si>
    <t>2000PSI預拌混凝土壓送澆築</t>
  </si>
  <si>
    <t>jiyi-025</t>
  </si>
  <si>
    <t>回填土夯實</t>
  </si>
  <si>
    <t>jiyi-026</t>
  </si>
  <si>
    <t>系統模板組立及拆除</t>
  </si>
  <si>
    <t>jiyi-027</t>
  </si>
  <si>
    <t>普通模板及清水模板</t>
  </si>
  <si>
    <t>jiyi-028</t>
  </si>
  <si>
    <t>普通鋼筋及彎紮組立SD280（#3-#5）</t>
  </si>
  <si>
    <t>噸</t>
  </si>
  <si>
    <t>jiyi-029</t>
  </si>
  <si>
    <t>高拉力鋼筋及彎紮組立SD420w（#6-#11）</t>
  </si>
  <si>
    <t>jiyi-030</t>
  </si>
  <si>
    <t>4000PSI預拌混凝土壓送澆築</t>
  </si>
  <si>
    <t>jiyi-031</t>
  </si>
  <si>
    <t>外部鷹架</t>
  </si>
  <si>
    <t>jiyi-032</t>
  </si>
  <si>
    <t>內部施工架</t>
  </si>
  <si>
    <t>jiyi-033</t>
  </si>
  <si>
    <t>1F機台個別結構體（3M*3M*2M）</t>
  </si>
  <si>
    <t>jiyi-034</t>
  </si>
  <si>
    <t>H型鋼</t>
  </si>
  <si>
    <t>KG</t>
  </si>
  <si>
    <t>SN490YB</t>
  </si>
  <si>
    <t>jiyi-035</t>
  </si>
  <si>
    <t>鐵板接合板加勁板</t>
  </si>
  <si>
    <t>jiyi-036</t>
  </si>
  <si>
    <t>柱封板</t>
  </si>
  <si>
    <t>SN491YB（原文如此，牌號待確認）</t>
  </si>
  <si>
    <t>jiyi-037</t>
  </si>
  <si>
    <t>鋼梯鐵板</t>
  </si>
  <si>
    <t>A36</t>
  </si>
  <si>
    <t>jiyi-038</t>
  </si>
  <si>
    <t>運輸</t>
  </si>
  <si>
    <t>jiyi-039</t>
  </si>
  <si>
    <t>塗裝-噴砂一底一面</t>
  </si>
  <si>
    <t>#36灰</t>
  </si>
  <si>
    <t>jiyi-040</t>
  </si>
  <si>
    <t>鋼梯製作工資</t>
  </si>
  <si>
    <t>jiyi-041</t>
  </si>
  <si>
    <t>RH製作工資</t>
  </si>
  <si>
    <t>jiyi-042</t>
  </si>
  <si>
    <t>組.立工資</t>
  </si>
  <si>
    <t>jiyi-043</t>
  </si>
  <si>
    <t>製圖費用</t>
  </si>
  <si>
    <t>jiyi-044</t>
  </si>
  <si>
    <t>12N*M22基礎螺栓</t>
  </si>
  <si>
    <t>組</t>
  </si>
  <si>
    <t>jiyi-045</t>
  </si>
  <si>
    <t>8N*M22基礎螺栓</t>
  </si>
  <si>
    <t>jiyi-046</t>
  </si>
  <si>
    <t>構件組立螺栓-F10T</t>
  </si>
  <si>
    <t>jiyi-047</t>
  </si>
  <si>
    <t>樓承鋼板（76*1.5mm）</t>
  </si>
  <si>
    <t>坪</t>
  </si>
  <si>
    <t>一般（含鋅量120g）</t>
  </si>
  <si>
    <t>jiyi-048</t>
  </si>
  <si>
    <t>樓承鋼板（76*1.2mm）</t>
  </si>
  <si>
    <t>jiyi-049</t>
  </si>
  <si>
    <t>柱樑剪力釘（M19*76L）</t>
  </si>
  <si>
    <t>jiyi-050</t>
  </si>
  <si>
    <t>螺栓接合處補漆</t>
  </si>
  <si>
    <t>jiyi-051</t>
  </si>
  <si>
    <t>安全防護</t>
  </si>
  <si>
    <t>jiyi-052</t>
  </si>
  <si>
    <t>樑柱【一小時防火漆】及面漆</t>
  </si>
  <si>
    <t>jiyi-053</t>
  </si>
  <si>
    <t>焊口</t>
  </si>
  <si>
    <t>口</t>
  </si>
  <si>
    <t>jiyi-054</t>
  </si>
  <si>
    <t>發電機費用</t>
  </si>
  <si>
    <t>jiyi-055</t>
  </si>
  <si>
    <t>22</t>
  </si>
  <si>
    <t>DECK版鋪設點焊鋼絲網8$*8$/150*150</t>
  </si>
  <si>
    <t>jiyi-056</t>
  </si>
  <si>
    <t>23</t>
  </si>
  <si>
    <t>20cm擋泥板及封口板收邊</t>
  </si>
  <si>
    <t>jiyi-057</t>
  </si>
  <si>
    <t>24</t>
  </si>
  <si>
    <t>15cm擋泥板及封口板收邊</t>
  </si>
  <si>
    <t>jiyi-058</t>
  </si>
  <si>
    <t>25</t>
  </si>
  <si>
    <t>無收縮水泥</t>
  </si>
  <si>
    <t>柱</t>
  </si>
  <si>
    <t>jiyi-059</t>
  </si>
  <si>
    <t>26</t>
  </si>
  <si>
    <t>樑柱箍筋現場焊接</t>
  </si>
  <si>
    <t>jiyi-060</t>
  </si>
  <si>
    <t>27</t>
  </si>
  <si>
    <t>鋼梯扶手</t>
  </si>
  <si>
    <t>jiyi-061</t>
  </si>
  <si>
    <t>廁所地坪＋牆面台度H=1.2M彈泥防水層</t>
  </si>
  <si>
    <t>依施工詳圖</t>
  </si>
  <si>
    <t>內外裝修及防水</t>
  </si>
  <si>
    <t>jiyi-062</t>
  </si>
  <si>
    <t>陽台地坪+牆面30cm彈泥防水施工</t>
  </si>
  <si>
    <t>jiyi-063</t>
  </si>
  <si>
    <t>外牆全棟彈泥防水</t>
  </si>
  <si>
    <t>jiyi-064</t>
  </si>
  <si>
    <t>窗框防水層</t>
  </si>
  <si>
    <t>原單數量×單價=404,400，原複價337,000，相差-67,400；保留原值。</t>
  </si>
  <si>
    <t>jiyi-065</t>
  </si>
  <si>
    <t>樓層接縫防水層</t>
  </si>
  <si>
    <t>原單數量×單價=402,300，原複價335,250，相差-67,050；保留原值。</t>
  </si>
  <si>
    <t>jiyi-066</t>
  </si>
  <si>
    <t>屋頂平台防水工程</t>
  </si>
  <si>
    <t>jiyi-067</t>
  </si>
  <si>
    <t>電梯基坑1：2防水粉刷</t>
  </si>
  <si>
    <t>jiyi-068</t>
  </si>
  <si>
    <t>消防水池1:2防水粉刷</t>
  </si>
  <si>
    <t>jiyi-069</t>
  </si>
  <si>
    <t>一樓大廳地坪貼花崗石</t>
  </si>
  <si>
    <t>jiyi-070</t>
  </si>
  <si>
    <t>客梯梯廳地坪貼60*120地磚</t>
  </si>
  <si>
    <t>jiyi-071</t>
  </si>
  <si>
    <t>外廊地坪貼30*60石英地磚</t>
  </si>
  <si>
    <t>jiyi-072</t>
  </si>
  <si>
    <t>辦公室地坪貼60*60拋光石英磚</t>
  </si>
  <si>
    <t>jiyi-073</t>
  </si>
  <si>
    <t>廠房地坪EPOXY</t>
  </si>
  <si>
    <t>jiyi-074</t>
  </si>
  <si>
    <t>廁所地坪貼30CM*30CM地磚</t>
  </si>
  <si>
    <t>jiyi-075</t>
  </si>
  <si>
    <t>甲乙梯貼樓梯磚</t>
  </si>
  <si>
    <t>支</t>
  </si>
  <si>
    <t>jiyi-076</t>
  </si>
  <si>
    <t>樓梯間地坪貼20*20地磚</t>
  </si>
  <si>
    <t>jiyi-077</t>
  </si>
  <si>
    <t>陽台地坪貼20*20地磚</t>
  </si>
  <si>
    <t>jiyi-078</t>
  </si>
  <si>
    <t>設備機房地坪貼30*30地磚</t>
  </si>
  <si>
    <t>jiyi-079</t>
  </si>
  <si>
    <t>1:2水泥砂漿粉刷＋鋪止滑石英磚（30x30cm）</t>
  </si>
  <si>
    <t>jiyi-080</t>
  </si>
  <si>
    <t>屋頂平台地坪貼隔熱地磚</t>
  </si>
  <si>
    <t>jiyi-081</t>
  </si>
  <si>
    <t>夾層參觀平台及會客室地坪</t>
  </si>
  <si>
    <t>jiyi-082</t>
  </si>
  <si>
    <t>門廳前弧形階梯貼燒面花崗石</t>
  </si>
  <si>
    <t>jiyi-083</t>
  </si>
  <si>
    <t>輕隔問牆T=10CM</t>
  </si>
  <si>
    <t>jiyi-084</t>
  </si>
  <si>
    <t>輕隔間批土刷水泥漆</t>
  </si>
  <si>
    <t>jiyi-085</t>
  </si>
  <si>
    <t>RC牆1:3水泥砂漿粉刷刷水泥漆</t>
  </si>
  <si>
    <t>jiyi-086</t>
  </si>
  <si>
    <t>一樓大廳牆面貼60CM*120CM壁磚</t>
  </si>
  <si>
    <t>jiyi-087</t>
  </si>
  <si>
    <t>廁所牆面貼30CM*60CM壁磚</t>
  </si>
  <si>
    <t>jiyi-088</t>
  </si>
  <si>
    <t>1:3水泥砂漿粉刷＋水泥漆（批土+一底二度）</t>
  </si>
  <si>
    <t>jiyi-089</t>
  </si>
  <si>
    <t>明架礦纖天花板（60*60CM）</t>
  </si>
  <si>
    <t>jiyi-090</t>
  </si>
  <si>
    <t>暗架矽酸鈣板＋塗乳膠漆（批土+一底二度）</t>
  </si>
  <si>
    <t>jiyi-091</t>
  </si>
  <si>
    <t>依外牆材質（深色二丁掛磚）</t>
  </si>
  <si>
    <t>jiyi-092</t>
  </si>
  <si>
    <t>外牆貼二丁掛磚</t>
  </si>
  <si>
    <t>jiyi-093</t>
  </si>
  <si>
    <t>外牆金屬包版（鋁本色）</t>
  </si>
  <si>
    <t>jiyi-094</t>
  </si>
  <si>
    <t>外牆金屬沖孔版</t>
  </si>
  <si>
    <t>jiyi-095</t>
  </si>
  <si>
    <t>外牆波紋版</t>
  </si>
  <si>
    <t>jiyi-096</t>
  </si>
  <si>
    <t>外牆仿清水模塗料</t>
  </si>
  <si>
    <t>jiyi-097</t>
  </si>
  <si>
    <t>外牆淺色塗料</t>
  </si>
  <si>
    <t>jiyi-098</t>
  </si>
  <si>
    <t>外牆1:2防水粉刷漆油性油漆</t>
  </si>
  <si>
    <t>jiyi-099</t>
  </si>
  <si>
    <t>欄杆工程H=1.1M</t>
  </si>
  <si>
    <t>jiyi-100</t>
  </si>
  <si>
    <t>玻璃欄杆工程H=95CM</t>
  </si>
  <si>
    <t>jiyi-101</t>
  </si>
  <si>
    <t>外牆瓏昇LOGO</t>
  </si>
  <si>
    <t>jiyi-102</t>
  </si>
  <si>
    <t>D1 南亞慶祥SMC門（80*220）</t>
  </si>
  <si>
    <t>樘</t>
  </si>
  <si>
    <t>jiyi-103</t>
  </si>
  <si>
    <t>D2 南亞慶祥SMC門（90*210）</t>
  </si>
  <si>
    <t>jiyi-104</t>
  </si>
  <si>
    <t>D3 木門（120*210）</t>
  </si>
  <si>
    <t>jiyi-105</t>
  </si>
  <si>
    <t>D3a 防火門（100*220）（60B+遮煙）</t>
  </si>
  <si>
    <t>jiyi-106</t>
  </si>
  <si>
    <t>D4 防火門（100*210）（遮煙）</t>
  </si>
  <si>
    <t>jiyi-107</t>
  </si>
  <si>
    <t>D5木門（90*220）</t>
  </si>
  <si>
    <t>jiyi-108</t>
  </si>
  <si>
    <t>D6 木門（100*220）</t>
  </si>
  <si>
    <t>jiyi-109</t>
  </si>
  <si>
    <t>D7 三合一通風門（95*220）</t>
  </si>
  <si>
    <t>jiyi-110</t>
  </si>
  <si>
    <t>D8 防火門（140*240）（遮煙）</t>
  </si>
  <si>
    <t>jiyi-111</t>
  </si>
  <si>
    <t>D9木門（150*240）</t>
  </si>
  <si>
    <t>jiyi-112</t>
  </si>
  <si>
    <t>D9a 防火門（150*240）（60B+遮煙）</t>
  </si>
  <si>
    <t>jiyi-113</t>
  </si>
  <si>
    <t>D10 木門（180*240）</t>
  </si>
  <si>
    <t>jiyi-114</t>
  </si>
  <si>
    <t>D11 通風百葉雙開門（290*330）</t>
  </si>
  <si>
    <t>jiyi-115</t>
  </si>
  <si>
    <t>D12 固定窗拉門（160*240）</t>
  </si>
  <si>
    <t>jiyi-116</t>
  </si>
  <si>
    <t>D13 南亞慶祥SMC門（100*210）</t>
  </si>
  <si>
    <t>jiyi-117</t>
  </si>
  <si>
    <t>D14 固定窗鋁製拉門（90*220）</t>
  </si>
  <si>
    <t>jiyi-118</t>
  </si>
  <si>
    <t>FD1 防火門（120*220）（60A+遮煙）</t>
  </si>
  <si>
    <t>jiyi-119</t>
  </si>
  <si>
    <t>FD2 烤漆鋼板防火門（100*220）（60B）</t>
  </si>
  <si>
    <t>jiyi-120</t>
  </si>
  <si>
    <t>FD3烤漆鋼板防火門（180*240）（60A）</t>
  </si>
  <si>
    <t>jiyi-121</t>
  </si>
  <si>
    <t>FD4 烤漆鋼板防火門（100*220）（60A）</t>
  </si>
  <si>
    <t>jiyi-122</t>
  </si>
  <si>
    <t>FD5 烤漆鋼板防火門（205*240）（60B）</t>
  </si>
  <si>
    <t>jiyi-123</t>
  </si>
  <si>
    <t>SD1 快速捲門（520*360）</t>
  </si>
  <si>
    <t>jiyi-124</t>
  </si>
  <si>
    <t>SD2 快速捲門（520*400）</t>
  </si>
  <si>
    <t>jiyi-125</t>
  </si>
  <si>
    <t>SFD1 防火捲門（200*380）（60A）</t>
  </si>
  <si>
    <t>jiyi-126</t>
  </si>
  <si>
    <t>SFD2 防火捲門（450*380）（60A）</t>
  </si>
  <si>
    <t>jiyi-127</t>
  </si>
  <si>
    <t>SFD3 防火捲門（455*380）（60A）</t>
  </si>
  <si>
    <t>jiyi-128</t>
  </si>
  <si>
    <t>W1 氣密鋁門窗（70*140）</t>
  </si>
  <si>
    <t>國田</t>
  </si>
  <si>
    <t>jiyi-129</t>
  </si>
  <si>
    <t>28</t>
  </si>
  <si>
    <t>W2 氣密鋁門窗（120*330）</t>
  </si>
  <si>
    <t>jiyi-130</t>
  </si>
  <si>
    <t>29</t>
  </si>
  <si>
    <t>W3 氣密鋁門窗（215*210）</t>
  </si>
  <si>
    <t>jiyi-131</t>
  </si>
  <si>
    <t>30</t>
  </si>
  <si>
    <t>W4 氣密鋁門窗（425*210）</t>
  </si>
  <si>
    <t>jiyi-132</t>
  </si>
  <si>
    <t>31</t>
  </si>
  <si>
    <t>W5 氣密鋁門窗（320*210）</t>
  </si>
  <si>
    <t>jiyi-133</t>
  </si>
  <si>
    <t>32</t>
  </si>
  <si>
    <t>W6 氣密鋁門窗（200*60）</t>
  </si>
  <si>
    <t>jiyi-134</t>
  </si>
  <si>
    <t>33</t>
  </si>
  <si>
    <t>W7氣密鋁門窗（350*80）</t>
  </si>
  <si>
    <t>jiyi-135</t>
  </si>
  <si>
    <t>34</t>
  </si>
  <si>
    <t>W9 氣密鋁門窗（180*70）</t>
  </si>
  <si>
    <t>jiyi-136</t>
  </si>
  <si>
    <t>35</t>
  </si>
  <si>
    <t>W10 氣密鋁門窗（210*330）</t>
  </si>
  <si>
    <t>jiyi-137</t>
  </si>
  <si>
    <t>36</t>
  </si>
  <si>
    <t>W10 氣密鋁門窗（510*330）</t>
  </si>
  <si>
    <t>jiyi-138</t>
  </si>
  <si>
    <t>37</t>
  </si>
  <si>
    <t>W10 氣密鋁門窗（810*330）</t>
  </si>
  <si>
    <t>jiyi-139</t>
  </si>
  <si>
    <t>38</t>
  </si>
  <si>
    <t>W11 氣密鋁門窗（265*310）</t>
  </si>
  <si>
    <t>jiyi-140</t>
  </si>
  <si>
    <t>39</t>
  </si>
  <si>
    <t>W12 氣密鋁門窗（610*245）</t>
  </si>
  <si>
    <t>jiyi-141</t>
  </si>
  <si>
    <t>40</t>
  </si>
  <si>
    <t>W13 氣密鋁門窗（150*1050）</t>
  </si>
  <si>
    <t>jiyi-142</t>
  </si>
  <si>
    <t>41</t>
  </si>
  <si>
    <t>W13 氣密鋁門窗（250*1050）</t>
  </si>
  <si>
    <t>jiyi-143</t>
  </si>
  <si>
    <t>42</t>
  </si>
  <si>
    <t>W13 氣密鋁門窗（430*1050）</t>
  </si>
  <si>
    <t>jiyi-144</t>
  </si>
  <si>
    <t>43</t>
  </si>
  <si>
    <t>BW1防火百葉窗（120*120）</t>
  </si>
  <si>
    <t>jiyi-145</t>
  </si>
  <si>
    <t>44</t>
  </si>
  <si>
    <t>BW2氣密鋁門窗（810*70）</t>
  </si>
  <si>
    <t>jiyi-146</t>
  </si>
  <si>
    <t>45</t>
  </si>
  <si>
    <t>BW5氣密鋁門窗（810*70）</t>
  </si>
  <si>
    <t>jiyi-147</t>
  </si>
  <si>
    <t>8MM強化玻璃</t>
  </si>
  <si>
    <t>才</t>
  </si>
  <si>
    <t>jiyi-148</t>
  </si>
  <si>
    <t>鐵捲門水泥砂漿嵌縫</t>
  </si>
  <si>
    <t>jiyi-149</t>
  </si>
  <si>
    <t>防火門，金屬門水泥砂漿嵌縫</t>
  </si>
  <si>
    <t>jiyi-150</t>
  </si>
  <si>
    <t>木門水泥砂漿嵌縫 1-</t>
  </si>
  <si>
    <t>jiyi-151</t>
  </si>
  <si>
    <t>塑鋼門水泥砂漿嵌縫</t>
  </si>
  <si>
    <t>jiyi-152</t>
  </si>
  <si>
    <t>鋁窗水泥砂漿嵌縫</t>
  </si>
  <si>
    <t>jiyi-153</t>
  </si>
  <si>
    <t>電梯開口水泥砂漿嵌縫</t>
  </si>
  <si>
    <t>jiyi-154</t>
  </si>
  <si>
    <t>防火門.金屬門內外填矽利康</t>
  </si>
  <si>
    <t>jiyi-155</t>
  </si>
  <si>
    <t>木門內外填矽利康</t>
  </si>
  <si>
    <t>jiyi-156</t>
  </si>
  <si>
    <t>塑鋼門內外填矽利康</t>
  </si>
  <si>
    <t>jiyi-157</t>
  </si>
  <si>
    <t>鋁門窗填矽利康</t>
  </si>
  <si>
    <t>jiyi-158</t>
  </si>
  <si>
    <t>12人份客用電梯（兼無障礙電梯）</t>
  </si>
  <si>
    <t>小金井</t>
  </si>
  <si>
    <t>設備、雜項及室外</t>
  </si>
  <si>
    <t>jiyi-159</t>
  </si>
  <si>
    <t>2500KG機房貨梯</t>
  </si>
  <si>
    <t>jiyi-160</t>
  </si>
  <si>
    <t>10人份生活污水處理設施</t>
  </si>
  <si>
    <t>jiyi-161</t>
  </si>
  <si>
    <t>防火遮煙捲簾</t>
  </si>
  <si>
    <t>jiyi-162</t>
  </si>
  <si>
    <t>廁所導擺隔間＋門扇（15樘）</t>
  </si>
  <si>
    <t>jiyi-163</t>
  </si>
  <si>
    <t>小便斗隔屏</t>
  </si>
  <si>
    <t>jiyi-164</t>
  </si>
  <si>
    <t>人造石門檻（80CM</t>
  </si>
  <si>
    <t>jiyi-165</t>
  </si>
  <si>
    <t>人造石門檻（95CMO）</t>
  </si>
  <si>
    <t>jiyi-166</t>
  </si>
  <si>
    <t>人造石門檻（140CM）</t>
  </si>
  <si>
    <t>jiyi-167</t>
  </si>
  <si>
    <t>人造石門檻（150CM）</t>
  </si>
  <si>
    <t>jiyi-168</t>
  </si>
  <si>
    <t>人造石門檻（180CM）</t>
  </si>
  <si>
    <t>jiyi-169</t>
  </si>
  <si>
    <t>人造石門檻（205CM）</t>
  </si>
  <si>
    <t>jiyi-170</t>
  </si>
  <si>
    <t>樓梯扶手（立柱式）H=80CM</t>
  </si>
  <si>
    <t>jiyi-171</t>
  </si>
  <si>
    <t>樓梯扶手（扶壁式）</t>
  </si>
  <si>
    <t>jiyi-172</t>
  </si>
  <si>
    <t>無障礙樓梯磚 L120米W30CM</t>
  </si>
  <si>
    <t>塊</t>
  </si>
  <si>
    <t>jiyi-173</t>
  </si>
  <si>
    <t>無障礙電梯磚160*30CM</t>
  </si>
  <si>
    <t>jiyi-174</t>
  </si>
  <si>
    <t>停車位劃線 250*600</t>
  </si>
  <si>
    <t>輛</t>
  </si>
  <si>
    <t>jiyi-175</t>
  </si>
  <si>
    <t>裝卸位停車位劃線 400*1300</t>
  </si>
  <si>
    <t>jiyi-176</t>
  </si>
  <si>
    <t>無障礙停車位劃線 350*600</t>
  </si>
  <si>
    <t>jiyi-177</t>
  </si>
  <si>
    <t>無障礙停車位立牌標誌</t>
  </si>
  <si>
    <t>jiyi-178</t>
  </si>
  <si>
    <t>無障礙設施引導標誌</t>
  </si>
  <si>
    <t>jiyi-179</t>
  </si>
  <si>
    <t>LOGO矮牆工程H=150CM</t>
  </si>
  <si>
    <t>jiyi-180</t>
  </si>
  <si>
    <t>夾層參觀平台玻璃欄杆</t>
  </si>
  <si>
    <t>jiyi-181</t>
  </si>
  <si>
    <t>大廳前不銹鋼雨遮</t>
  </si>
  <si>
    <t>jiyi-182</t>
  </si>
  <si>
    <t>60*60CM鍍鋅隔栅人孔蓋板</t>
  </si>
  <si>
    <t>jiyi-183</t>
  </si>
  <si>
    <t>基地排水溝工程</t>
  </si>
  <si>
    <t>jiyi-184</t>
  </si>
  <si>
    <t>綠化面積（百慕達草）</t>
  </si>
  <si>
    <t>jiyi-185</t>
  </si>
  <si>
    <t>綠化面積（植草磚）</t>
  </si>
  <si>
    <t>jiyi-186</t>
  </si>
  <si>
    <t>戶外地坪瀝青鋪設</t>
  </si>
  <si>
    <t>jiyi-fee1</t>
  </si>
  <si>
    <t>費用1</t>
  </si>
  <si>
    <t>依原總表列示</t>
  </si>
  <si>
    <t>總表費用</t>
  </si>
  <si>
    <t>運什、安衛及保險</t>
  </si>
  <si>
    <t>jiyi-fee2</t>
  </si>
  <si>
    <t>費用2</t>
  </si>
  <si>
    <t>jiyi-fee3</t>
  </si>
  <si>
    <t>費用3</t>
  </si>
  <si>
    <t>管理及利潤</t>
  </si>
  <si>
    <t>jiyi-fee4</t>
  </si>
  <si>
    <t>費用4</t>
  </si>
  <si>
    <t>jiyi-fee5</t>
  </si>
  <si>
    <t>費用5</t>
  </si>
  <si>
    <t>來源與報價條款</t>
  </si>
  <si>
    <t>內容類型</t>
  </si>
  <si>
    <t>原文／整理說明</t>
  </si>
  <si>
    <t>來源PDF</t>
  </si>
  <si>
    <t>115.04.01-基益營造-工程估價單.pdf</t>
  </si>
  <si>
    <t>提供文件頁數</t>
  </si>
  <si>
    <t>整理原則</t>
  </si>
  <si>
    <t>原複價為分析基礎；未列價不當零元；數量×單價僅供核對。</t>
  </si>
  <si>
    <t>文件與整理方式</t>
  </si>
  <si>
    <t>報價日期較另兩家早約半年，數量與部分規格差異大，須確認圖說版本及重報價。 原始PDF保留；金額以原複價為準，乘算差額另列。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</si>
</sst>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[Red]\(#,##0.00\);&quot;–&quot;"/>
    <numFmt numFmtId="177" formatCode="#,##0;[Red]\(#,##0\);&quot;–&quot;"/>
  </numFmts>
  <fonts count="11">
    <font>
      <sz val="11"/>
      <name val="Carlito"/>
    </font>
    <font>
      <b/>
      <sz val="16"/>
      <color rgb="FF17324D"/>
      <name val="Arial"/>
      <family val="2"/>
    </font>
    <font>
      <b/>
      <sz val="11"/>
      <color rgb="FFFFFFFF"/>
      <name val="Arial"/>
      <family val="2"/>
    </font>
    <font>
      <sz val="11"/>
      <color rgb="FF263749"/>
      <name val="Arial"/>
      <family val="2"/>
    </font>
    <font>
      <sz val="11"/>
      <color rgb="FF1D5C99"/>
      <name val="Arial"/>
      <family val="2"/>
    </font>
    <font>
      <sz val="11"/>
      <color rgb="FF58677B"/>
      <name val="Arial"/>
      <family val="2"/>
    </font>
    <font>
      <b/>
      <sz val="11"/>
      <color rgb="FF263749"/>
      <name val="Arial"/>
      <family val="2"/>
    </font>
    <font>
      <b/>
      <sz val="11"/>
      <color rgb="FFFFFFFF"/>
      <name val="Carlito"/>
    </font>
    <font>
      <sz val="11"/>
      <name val="Arial"/>
      <family val="2"/>
    </font>
    <font>
      <sz val="11"/>
      <name val="Carlito"/>
    </font>
    <font>
      <sz val="9"/>
      <name val="Wawati TC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5F8"/>
      </patternFill>
    </fill>
    <fill>
      <patternFill patternType="solid">
        <fgColor rgb="FFE2EB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horizontal="center" vertical="center" wrapText="1"/>
    </xf>
    <xf numFmtId="0" fontId="3" fillId="0" borderId="0" xfId="1" applyFont="1"/>
    <xf numFmtId="0" fontId="3" fillId="0" borderId="0" xfId="1" applyFont="1" applyAlignment="1">
      <alignment wrapText="1"/>
    </xf>
    <xf numFmtId="0" fontId="3" fillId="0" borderId="0" xfId="1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177" fontId="3" fillId="0" borderId="0" xfId="1" applyNumberFormat="1" applyFont="1" applyAlignment="1">
      <alignment vertical="center" wrapText="1"/>
    </xf>
    <xf numFmtId="177" fontId="3" fillId="3" borderId="0" xfId="1" applyNumberFormat="1" applyFont="1" applyFill="1" applyAlignment="1">
      <alignment vertical="center" wrapText="1"/>
    </xf>
    <xf numFmtId="176" fontId="4" fillId="0" borderId="0" xfId="1" applyNumberFormat="1" applyFont="1" applyAlignment="1">
      <alignment vertical="center" wrapText="1"/>
    </xf>
    <xf numFmtId="177" fontId="4" fillId="0" borderId="0" xfId="1" applyNumberFormat="1" applyFont="1" applyAlignment="1">
      <alignment vertical="center" wrapText="1"/>
    </xf>
    <xf numFmtId="176" fontId="4" fillId="3" borderId="0" xfId="1" applyNumberFormat="1" applyFont="1" applyFill="1" applyAlignment="1">
      <alignment vertical="center" wrapText="1"/>
    </xf>
    <xf numFmtId="177" fontId="4" fillId="3" borderId="0" xfId="1" applyNumberFormat="1" applyFont="1" applyFill="1" applyAlignment="1">
      <alignment vertical="center" wrapText="1"/>
    </xf>
    <xf numFmtId="0" fontId="5" fillId="0" borderId="0" xfId="1" applyFont="1"/>
    <xf numFmtId="177" fontId="0" fillId="0" borderId="0" xfId="1" applyNumberFormat="1" applyFont="1"/>
    <xf numFmtId="0" fontId="6" fillId="4" borderId="0" xfId="1" applyFont="1" applyFill="1"/>
    <xf numFmtId="177" fontId="6" fillId="4" borderId="0" xfId="1" applyNumberFormat="1" applyFont="1" applyFill="1"/>
    <xf numFmtId="177" fontId="3" fillId="0" borderId="0" xfId="1" applyNumberFormat="1" applyFont="1"/>
    <xf numFmtId="177" fontId="3" fillId="0" borderId="0" xfId="1" applyNumberFormat="1" applyFont="1" applyAlignment="1">
      <alignment wrapText="1"/>
    </xf>
    <xf numFmtId="0" fontId="7" fillId="2" borderId="0" xfId="1" applyFont="1" applyFill="1"/>
    <xf numFmtId="0" fontId="8" fillId="0" borderId="0" xfId="1" applyFont="1" applyAlignment="1">
      <alignment wrapText="1"/>
    </xf>
    <xf numFmtId="177" fontId="8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9C421A"/>
      </font>
      <fill>
        <patternFill patternType="solid">
          <bgColor rgb="FFFFF0D9"/>
        </patternFill>
      </fill>
    </dxf>
    <dxf>
      <font>
        <b/>
        <color rgb="FF9C421A"/>
      </font>
      <fill>
        <patternFill patternType="solid">
          <bgColor rgb="FFFFF0D9"/>
        </patternFill>
      </fill>
    </dxf>
    <dxf>
      <font>
        <b/>
        <color rgb="FF9C421A"/>
      </font>
      <fill>
        <patternFill patternType="solid">
          <bgColor rgb="FFFF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2" displayName="Detail2" ref="A5:P196" totalsRowShown="0">
  <autoFilter ref="A5:P196" xr:uid="{00000000-000C-0000-FFFF-FFFF00000000}"/>
  <tableColumns count="16">
    <tableColumn id="1" xr3:uid="{00000000-0010-0000-0000-000001000000}" name="資料ID"/>
    <tableColumn id="2" xr3:uid="{00000000-0010-0000-0000-000002000000}" name="原分類"/>
    <tableColumn id="3" xr3:uid="{00000000-0010-0000-0000-000003000000}" name="子分類"/>
    <tableColumn id="4" xr3:uid="{00000000-0010-0000-0000-000004000000}" name="原項次"/>
    <tableColumn id="5" xr3:uid="{00000000-0010-0000-0000-000005000000}" name="工程項目／規格"/>
    <tableColumn id="6" xr3:uid="{00000000-0010-0000-0000-000006000000}" name="單位"/>
    <tableColumn id="7" xr3:uid="{00000000-0010-0000-0000-000007000000}" name="數量"/>
    <tableColumn id="8" xr3:uid="{00000000-0010-0000-0000-000008000000}" name="原單價"/>
    <tableColumn id="9" xr3:uid="{00000000-0010-0000-0000-000009000000}" name="原複價"/>
    <tableColumn id="10" xr3:uid="{00000000-0010-0000-0000-00000A000000}" name="數量×單價"/>
    <tableColumn id="11" xr3:uid="{00000000-0010-0000-0000-00000B000000}" name="原複價減乘算"/>
    <tableColumn id="12" xr3:uid="{00000000-0010-0000-0000-00000C000000}" name="品牌／原備註"/>
    <tableColumn id="13" xr3:uid="{00000000-0010-0000-0000-00000D000000}" name="PDF頁"/>
    <tableColumn id="14" xr3:uid="{00000000-0010-0000-0000-00000E000000}" name="性質"/>
    <tableColumn id="15" xr3:uid="{00000000-0010-0000-0000-00000F000000}" name="統一比較分類"/>
    <tableColumn id="16" xr3:uid="{00000000-0010-0000-0000-000010000000}" name="核對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3"/>
  <sheetViews>
    <sheetView showGridLines="0" zoomScale="125" workbookViewId="0">
      <pane ySplit="5" topLeftCell="A6" activePane="bottomLeft" state="frozen"/>
      <selection pane="bottomLeft" activeCell="C23" sqref="C23"/>
    </sheetView>
  </sheetViews>
  <sheetFormatPr baseColWidth="10" defaultColWidth="8.83203125" defaultRowHeight="14"/>
  <cols>
    <col min="1" max="1" width="34" customWidth="1"/>
    <col min="2" max="4" width="20" customWidth="1"/>
    <col min="5" max="5" width="80" customWidth="1"/>
  </cols>
  <sheetData>
    <row r="2" spans="1:5" ht="19.200000762939453" customHeight="1">
      <c r="A2" s="1" t="s">
        <v>0</v>
      </c>
    </row>
    <row r="3" spans="1:5" ht="14" customHeight="1">
      <c r="A3" s="13" t="s">
        <v>1</v>
      </c>
    </row>
    <row r="5" spans="1:5" ht="14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14" customHeight="1">
      <c r="A6" s="5" t="s">
        <v>7</v>
      </c>
      <c r="B6" s="7">
        <v>6917256</v>
      </c>
      <c r="C6" s="7">
        <f>SUMIFS(報價明細!$I$6:$I$196,報價明細!$B$6:$B$196,A6)</f>
        <v>6917256</v>
      </c>
      <c r="D6" s="7">
        <f t="shared" ref="D6:D19" si="0">C6-B6</f>
        <v>0</v>
      </c>
      <c r="E6" s="5"/>
    </row>
    <row r="7" spans="1:5" ht="14" customHeight="1">
      <c r="A7" s="6" t="s">
        <v>8</v>
      </c>
      <c r="B7" s="8">
        <v>63168038</v>
      </c>
      <c r="C7" s="8">
        <f>SUMIFS(報價明細!$I$6:$I$196,報價明細!$B$6:$B$196,A7)</f>
        <v>63168038</v>
      </c>
      <c r="D7" s="8">
        <f t="shared" si="0"/>
        <v>0</v>
      </c>
      <c r="E7" s="6"/>
    </row>
    <row r="8" spans="1:5" ht="14" customHeight="1">
      <c r="A8" s="5" t="s">
        <v>9</v>
      </c>
      <c r="B8" s="7">
        <v>41869118</v>
      </c>
      <c r="C8" s="7">
        <f>SUMIFS(報價明細!$I$6:$I$196,報價明細!$B$6:$B$196,A8)</f>
        <v>41869118</v>
      </c>
      <c r="D8" s="7">
        <f t="shared" si="0"/>
        <v>0</v>
      </c>
      <c r="E8" s="5"/>
    </row>
    <row r="9" spans="1:5" ht="14" customHeight="1">
      <c r="A9" s="6" t="s">
        <v>10</v>
      </c>
      <c r="B9" s="8">
        <v>41094488</v>
      </c>
      <c r="C9" s="8">
        <f>SUMIFS(報價明細!$I$6:$I$196,報價明細!$B$6:$B$196,A9)</f>
        <v>41094489</v>
      </c>
      <c r="D9" s="8">
        <f t="shared" si="0"/>
        <v>1</v>
      </c>
      <c r="E9" s="6"/>
    </row>
    <row r="10" spans="1:5" ht="14" customHeight="1">
      <c r="A10" s="5" t="s">
        <v>11</v>
      </c>
      <c r="B10" s="7">
        <v>13066593</v>
      </c>
      <c r="C10" s="7">
        <f>SUMIFS(報價明細!$I$6:$I$196,報價明細!$B$6:$B$196,A10)</f>
        <v>13066593</v>
      </c>
      <c r="D10" s="7">
        <f t="shared" si="0"/>
        <v>0</v>
      </c>
      <c r="E10" s="5"/>
    </row>
    <row r="11" spans="1:5" ht="14" customHeight="1">
      <c r="A11" s="6" t="s">
        <v>12</v>
      </c>
      <c r="B11" s="8">
        <v>7371886</v>
      </c>
      <c r="C11" s="8">
        <f>SUMIFS(報價明細!$I$6:$I$196,報價明細!$B$6:$B$196,A11)</f>
        <v>7371886</v>
      </c>
      <c r="D11" s="8">
        <f t="shared" si="0"/>
        <v>0</v>
      </c>
      <c r="E11" s="6"/>
    </row>
    <row r="12" spans="1:5" ht="14" customHeight="1">
      <c r="A12" s="5" t="s">
        <v>13</v>
      </c>
      <c r="B12" s="7">
        <v>4693000</v>
      </c>
      <c r="C12" s="7">
        <f>SUMIFS(報價明細!$I$6:$I$196,報價明細!$B$6:$B$196,A12)</f>
        <v>4693000</v>
      </c>
      <c r="D12" s="7">
        <f t="shared" si="0"/>
        <v>0</v>
      </c>
      <c r="E12" s="5"/>
    </row>
    <row r="13" spans="1:5" ht="14" customHeight="1">
      <c r="A13" s="6" t="s">
        <v>14</v>
      </c>
      <c r="B13" s="8">
        <v>2937300</v>
      </c>
      <c r="C13" s="8">
        <f>SUMIFS(報價明細!$I$6:$I$196,報價明細!$B$6:$B$196,A13)</f>
        <v>2937300</v>
      </c>
      <c r="D13" s="8">
        <f t="shared" si="0"/>
        <v>0</v>
      </c>
      <c r="E13" s="6"/>
    </row>
    <row r="14" spans="1:5" ht="14" customHeight="1">
      <c r="A14" s="5" t="s">
        <v>15</v>
      </c>
      <c r="B14" s="7">
        <v>1849985</v>
      </c>
      <c r="C14" s="7">
        <f>SUMIFS(報價明細!$I$6:$I$196,報價明細!$B$6:$B$196,A14)</f>
        <v>1849985</v>
      </c>
      <c r="D14" s="7">
        <f t="shared" si="0"/>
        <v>0</v>
      </c>
      <c r="E14" s="5"/>
    </row>
    <row r="15" spans="1:5" ht="14" customHeight="1">
      <c r="A15" s="6" t="s">
        <v>16</v>
      </c>
      <c r="B15" s="8">
        <v>1463741</v>
      </c>
      <c r="C15" s="8">
        <f>SUMIFS(報價明細!$I$6:$I$196,報價明細!$B$6:$B$196,A15)</f>
        <v>1463741</v>
      </c>
      <c r="D15" s="8">
        <f t="shared" si="0"/>
        <v>0</v>
      </c>
      <c r="E15" s="6"/>
    </row>
    <row r="16" spans="1:5" ht="14" customHeight="1">
      <c r="A16" s="5" t="s">
        <v>17</v>
      </c>
      <c r="B16" s="7">
        <v>914838</v>
      </c>
      <c r="C16" s="7">
        <f>SUMIFS(報價明細!$I$6:$I$196,報價明細!$B$6:$B$196,A16)</f>
        <v>914838</v>
      </c>
      <c r="D16" s="7">
        <f t="shared" si="0"/>
        <v>0</v>
      </c>
      <c r="E16" s="5"/>
    </row>
    <row r="17" spans="1:5" ht="14" customHeight="1">
      <c r="A17" s="6" t="s">
        <v>18</v>
      </c>
      <c r="B17" s="8">
        <v>14637413</v>
      </c>
      <c r="C17" s="8">
        <f>SUMIFS(報價明細!$I$6:$I$196,報價明細!$B$6:$B$196,A17)</f>
        <v>14637413</v>
      </c>
      <c r="D17" s="8">
        <f t="shared" si="0"/>
        <v>0</v>
      </c>
      <c r="E17" s="6"/>
    </row>
    <row r="18" spans="1:5" ht="14" customHeight="1">
      <c r="A18" s="5" t="s">
        <v>19</v>
      </c>
      <c r="B18" s="7">
        <v>9999183</v>
      </c>
      <c r="C18" s="7">
        <f>SUMIFS(報價明細!$I$6:$I$196,報價明細!$B$6:$B$196,A18)</f>
        <v>9999183</v>
      </c>
      <c r="D18" s="7">
        <f t="shared" si="0"/>
        <v>0</v>
      </c>
      <c r="E18" s="5"/>
    </row>
    <row r="19" spans="1:5" ht="14" customHeight="1">
      <c r="A19" s="6" t="s">
        <v>20</v>
      </c>
      <c r="B19" s="8">
        <v>65000</v>
      </c>
      <c r="C19" s="8">
        <f>SUMIFS(報價明細!$I$6:$I$196,報價明細!$B$6:$B$196,A19)</f>
        <v>65000</v>
      </c>
      <c r="D19" s="8">
        <f t="shared" si="0"/>
        <v>0</v>
      </c>
      <c r="E19" s="6"/>
    </row>
    <row r="20" spans="1:5" ht="14" customHeight="1">
      <c r="B20" s="14"/>
      <c r="C20" s="14"/>
      <c r="D20" s="14"/>
    </row>
    <row r="21" spans="1:5" ht="14" customHeight="1">
      <c r="A21" s="15" t="s">
        <v>21</v>
      </c>
      <c r="B21" s="16">
        <v>210047839</v>
      </c>
      <c r="C21" s="16">
        <f>SUM(報價明細!I6:I196)</f>
        <v>210047840</v>
      </c>
      <c r="D21" s="16">
        <f>C21-B21</f>
        <v>1</v>
      </c>
      <c r="E21" s="15" t="s">
        <v>22</v>
      </c>
    </row>
    <row r="22" spans="1:5" ht="14" customHeight="1">
      <c r="A22" s="3" t="s">
        <v>23</v>
      </c>
      <c r="B22" s="17">
        <v>199983656</v>
      </c>
      <c r="C22" s="17"/>
      <c r="D22" s="17"/>
      <c r="E22" s="3" t="s">
        <v>24</v>
      </c>
    </row>
    <row r="23" spans="1:5" ht="14" customHeight="1">
      <c r="A23" s="3" t="s">
        <v>25</v>
      </c>
      <c r="B23" s="17">
        <v>9999183</v>
      </c>
      <c r="C23" s="17"/>
      <c r="D23" s="17"/>
      <c r="E23" s="3" t="s">
        <v>26</v>
      </c>
    </row>
    <row r="24" spans="1:5" ht="14" customHeight="1">
      <c r="A24" s="3" t="s">
        <v>27</v>
      </c>
      <c r="B24" s="18">
        <v>65000</v>
      </c>
      <c r="C24" s="18"/>
      <c r="D24" s="18"/>
      <c r="E24" s="4" t="s">
        <v>28</v>
      </c>
    </row>
    <row r="25" spans="1:5" ht="14" customHeight="1">
      <c r="A25" s="3" t="s">
        <v>29</v>
      </c>
      <c r="B25" s="4" t="s">
        <v>30</v>
      </c>
      <c r="C25" s="4"/>
      <c r="D25" s="4"/>
      <c r="E25" s="4" t="s">
        <v>31</v>
      </c>
    </row>
    <row r="26" spans="1:5" ht="14" customHeight="1">
      <c r="A26" s="3" t="s">
        <v>32</v>
      </c>
      <c r="B26" s="4" t="s">
        <v>33</v>
      </c>
      <c r="C26" s="4"/>
      <c r="D26" s="4"/>
      <c r="E26" s="4" t="s">
        <v>34</v>
      </c>
    </row>
    <row r="27" spans="1:5" ht="14" customHeight="1">
      <c r="A27" s="3" t="s">
        <v>35</v>
      </c>
      <c r="B27" s="4">
        <v>191</v>
      </c>
      <c r="C27" s="4"/>
      <c r="D27" s="4"/>
      <c r="E27" s="4" t="s">
        <v>36</v>
      </c>
    </row>
    <row r="29" spans="1:5" ht="14" customHeight="1">
      <c r="A29" t="s">
        <v>37</v>
      </c>
    </row>
    <row r="30" spans="1:5" ht="28" customHeight="1"/>
    <row r="31" spans="1:5" ht="14" customHeight="1">
      <c r="A31" t="s">
        <v>38</v>
      </c>
    </row>
    <row r="34" spans="1:5" ht="14" customHeight="1">
      <c r="A34" s="19" t="s">
        <v>39</v>
      </c>
      <c r="B34" s="19" t="s">
        <v>3</v>
      </c>
      <c r="C34" s="19" t="s">
        <v>4</v>
      </c>
      <c r="D34" s="19" t="s">
        <v>5</v>
      </c>
      <c r="E34" s="19" t="s">
        <v>40</v>
      </c>
    </row>
    <row r="35" spans="1:5" ht="14" customHeight="1">
      <c r="A35" s="20" t="s">
        <v>41</v>
      </c>
      <c r="B35" s="21">
        <v>3830976</v>
      </c>
      <c r="C35" s="21">
        <f>SUMIFS(報價明細!$I$6:$I$196,報價明細!$B$6:$B$196,"泥作裝修工程",報價明細!$C$6:$C$196,"防水，屋面工程")</f>
        <v>3830976</v>
      </c>
      <c r="D35" s="21">
        <f t="shared" ref="D35:D43" si="1">C35-B35</f>
        <v>0</v>
      </c>
      <c r="E35" s="20" t="s">
        <v>42</v>
      </c>
    </row>
    <row r="36" spans="1:5" ht="14" customHeight="1">
      <c r="A36" s="20" t="s">
        <v>43</v>
      </c>
      <c r="B36" s="21">
        <v>13750957</v>
      </c>
      <c r="C36" s="21">
        <f>SUMIFS(報價明細!$I$6:$I$196,報價明細!$B$6:$B$196,"泥作裝修工程",報價明細!$C$6:$C$196,"室內地坪工程")</f>
        <v>13750957</v>
      </c>
      <c r="D36" s="21">
        <f t="shared" si="1"/>
        <v>0</v>
      </c>
      <c r="E36" s="20" t="s">
        <v>42</v>
      </c>
    </row>
    <row r="37" spans="1:5" ht="14" customHeight="1">
      <c r="A37" s="20" t="s">
        <v>44</v>
      </c>
      <c r="B37" s="21">
        <v>21078914</v>
      </c>
      <c r="C37" s="21">
        <f>SUMIFS(報價明細!$I$6:$I$196,報價明細!$B$6:$B$196,"泥作裝修工程",報價明細!$C$6:$C$196,"室內牆面工程")</f>
        <v>21078914</v>
      </c>
      <c r="D37" s="21">
        <f t="shared" si="1"/>
        <v>0</v>
      </c>
      <c r="E37" s="20" t="s">
        <v>45</v>
      </c>
    </row>
    <row r="38" spans="1:5" ht="14" customHeight="1">
      <c r="A38" s="20" t="s">
        <v>46</v>
      </c>
      <c r="B38" s="21">
        <v>2433641</v>
      </c>
      <c r="C38" s="21">
        <f>SUMIFS(報價明細!$I$6:$I$196,報價明細!$B$6:$B$196,"泥作裝修工程",報價明細!$C$6:$C$196,"室內平頂工程")</f>
        <v>2433642</v>
      </c>
      <c r="D38" s="21">
        <f t="shared" si="1"/>
        <v>1</v>
      </c>
      <c r="E38" s="20" t="s">
        <v>45</v>
      </c>
    </row>
    <row r="39" spans="1:5" ht="14" customHeight="1">
      <c r="A39" s="20" t="s">
        <v>47</v>
      </c>
      <c r="B39" s="21">
        <v>5710846</v>
      </c>
      <c r="C39" s="21">
        <f>SUM(報價明細!I107,報價明細!I108,報價明細!I109,報價明細!I110,報價明細!I111,報價明細!I112,報價明細!I113,報價明細!I114,報價明細!I115,報價明細!I116,報價明細!I117,報價明細!I118,報價明細!I119,報價明細!I120,報價明細!I121,報價明細!I122,報價明細!I123,報價明細!I124,報價明細!I125,報價明細!I126,報價明細!I127,報價明細!I128,報價明細!I129,報價明細!I130,報價明細!I131,報價明細!I132,報價明細!I133,報價明細!I134,報價明細!I135,報價明細!I136,報價明細!I137,報價明細!I138,報價明細!I139,報價明細!I140,報價明細!I141,報價明細!I142,報價明細!I143,報價明細!I144,報價明細!I145,報價明細!I146,報價明細!I147,報價明細!I148,報價明細!I149,報價明細!I150,報價明細!I151)</f>
        <v>5710846</v>
      </c>
      <c r="D39" s="21">
        <f t="shared" si="1"/>
        <v>0</v>
      </c>
      <c r="E39" s="20" t="s">
        <v>48</v>
      </c>
    </row>
    <row r="40" spans="1:5" ht="14" customHeight="1">
      <c r="A40" s="20" t="s">
        <v>49</v>
      </c>
      <c r="B40" s="21">
        <v>592809</v>
      </c>
      <c r="C40" s="21">
        <f>SUMIFS(報價明細!$I$6:$I$196,報價明細!$B$6:$B$196,"門窗工程",報價明細!$C$6:$C$196,"玻璃工程")</f>
        <v>592809</v>
      </c>
      <c r="D40" s="21">
        <f t="shared" si="1"/>
        <v>0</v>
      </c>
      <c r="E40" s="20" t="s">
        <v>48</v>
      </c>
    </row>
    <row r="41" spans="1:5" ht="14" customHeight="1">
      <c r="A41" s="20" t="s">
        <v>50</v>
      </c>
      <c r="B41" s="21">
        <v>841325</v>
      </c>
      <c r="C41" s="21">
        <f>SUMIFS(報價明細!$I$6:$I$196,報價明細!$B$6:$B$196,"門窗工程",報價明細!$C$6:$C$196,"崁縫工程")</f>
        <v>841325</v>
      </c>
      <c r="D41" s="21">
        <f t="shared" si="1"/>
        <v>0</v>
      </c>
      <c r="E41" s="20" t="s">
        <v>48</v>
      </c>
    </row>
    <row r="42" spans="1:5" ht="14" customHeight="1">
      <c r="A42" s="20" t="s">
        <v>51</v>
      </c>
      <c r="B42" s="21">
        <v>226906</v>
      </c>
      <c r="C42" s="21">
        <f>SUMIFS(報價明細!$I$6:$I$196,報價明細!$B$6:$B$196,"門窗工程",報價明細!$C$6:$C$196,"Silicone工程")</f>
        <v>226906</v>
      </c>
      <c r="D42" s="21">
        <f t="shared" si="1"/>
        <v>0</v>
      </c>
      <c r="E42" s="20" t="s">
        <v>48</v>
      </c>
    </row>
    <row r="43" spans="1:5" ht="14" customHeight="1">
      <c r="A43" s="20" t="s">
        <v>52</v>
      </c>
      <c r="B43" s="21">
        <v>17015993</v>
      </c>
      <c r="C43" s="21">
        <f>SUM(B15:B17)</f>
        <v>17015992</v>
      </c>
      <c r="D43" s="21">
        <f t="shared" si="1"/>
        <v>-1</v>
      </c>
      <c r="E43" s="20" t="s">
        <v>53</v>
      </c>
    </row>
  </sheetData>
  <phoneticPr fontId="10" type="noConversion"/>
  <conditionalFormatting sqref="D6:D21">
    <cfRule type="cellIs" dxfId="2" priority="1" operator="notEqual">
      <formula>0</formula>
    </cfRule>
  </conditionalFormatting>
  <conditionalFormatting sqref="D35:D43">
    <cfRule type="cellIs" dxfId="1" priority="2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96"/>
  <sheetViews>
    <sheetView showGridLines="0" tabSelected="1" workbookViewId="0">
      <pane xSplit="4" ySplit="5" topLeftCell="E6" activePane="bottomRight" state="frozen"/>
      <selection pane="topRight"/>
      <selection pane="bottomLeft"/>
      <selection pane="bottomRight" activeCell="E9" sqref="E9"/>
    </sheetView>
  </sheetViews>
  <sheetFormatPr baseColWidth="10" defaultColWidth="8.83203125" defaultRowHeight="14"/>
  <cols>
    <col min="1" max="1" width="20" customWidth="1"/>
    <col min="2" max="2" width="24" customWidth="1"/>
    <col min="3" max="3" width="23" customWidth="1"/>
    <col min="4" max="4" width="12" customWidth="1"/>
    <col min="5" max="5" width="66" customWidth="1"/>
    <col min="6" max="6" width="10" customWidth="1"/>
    <col min="7" max="7" width="15" customWidth="1"/>
    <col min="8" max="8" width="16" customWidth="1"/>
    <col min="9" max="11" width="18" customWidth="1"/>
    <col min="12" max="12" width="64" customWidth="1"/>
    <col min="13" max="13" width="10" customWidth="1"/>
    <col min="14" max="14" width="16" customWidth="1"/>
    <col min="15" max="15" width="25" customWidth="1"/>
    <col min="16" max="16" width="65" customWidth="1"/>
  </cols>
  <sheetData>
    <row r="2" spans="1:16" ht="19.200000762939453" customHeight="1">
      <c r="A2" s="1" t="s">
        <v>54</v>
      </c>
    </row>
    <row r="3" spans="1:16" ht="14" customHeight="1">
      <c r="A3" s="13" t="s">
        <v>55</v>
      </c>
    </row>
    <row r="5" spans="1:16" ht="14" customHeight="1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</row>
    <row r="6" spans="1:16" ht="14" customHeight="1">
      <c r="A6" s="5" t="s">
        <v>72</v>
      </c>
      <c r="B6" s="5" t="s">
        <v>7</v>
      </c>
      <c r="C6" s="5"/>
      <c r="D6" s="5" t="s">
        <v>73</v>
      </c>
      <c r="E6" s="5" t="s">
        <v>74</v>
      </c>
      <c r="F6" s="5" t="s">
        <v>75</v>
      </c>
      <c r="G6" s="9">
        <v>1</v>
      </c>
      <c r="H6" s="9">
        <v>120000</v>
      </c>
      <c r="I6" s="10">
        <v>120000</v>
      </c>
      <c r="J6" s="7">
        <f t="shared" ref="J6:J37" si="0">IF(OR(G6="",H6=""),"",ROUND(G6*H6,0))</f>
        <v>120000</v>
      </c>
      <c r="K6" s="7">
        <f t="shared" ref="K6:K37" si="1">IF(OR(I6="",J6=""),"",I6-J6)</f>
        <v>0</v>
      </c>
      <c r="L6" s="5"/>
      <c r="M6" s="5">
        <v>2</v>
      </c>
      <c r="N6" s="5" t="s">
        <v>76</v>
      </c>
      <c r="O6" s="5" t="s">
        <v>7</v>
      </c>
      <c r="P6" s="5"/>
    </row>
    <row r="7" spans="1:16" ht="14" customHeight="1">
      <c r="A7" s="6" t="s">
        <v>77</v>
      </c>
      <c r="B7" s="6" t="s">
        <v>7</v>
      </c>
      <c r="C7" s="6"/>
      <c r="D7" s="6" t="s">
        <v>78</v>
      </c>
      <c r="E7" s="6" t="s">
        <v>79</v>
      </c>
      <c r="F7" s="6" t="s">
        <v>80</v>
      </c>
      <c r="G7" s="11">
        <v>308.81</v>
      </c>
      <c r="H7" s="11">
        <v>1850</v>
      </c>
      <c r="I7" s="12">
        <v>571299</v>
      </c>
      <c r="J7" s="8">
        <f t="shared" si="0"/>
        <v>571299</v>
      </c>
      <c r="K7" s="8">
        <f t="shared" si="1"/>
        <v>0</v>
      </c>
      <c r="L7" s="6"/>
      <c r="M7" s="6">
        <v>2</v>
      </c>
      <c r="N7" s="6" t="s">
        <v>76</v>
      </c>
      <c r="O7" s="6" t="s">
        <v>7</v>
      </c>
      <c r="P7" s="6"/>
    </row>
    <row r="8" spans="1:16" ht="14" customHeight="1">
      <c r="A8" s="5" t="s">
        <v>81</v>
      </c>
      <c r="B8" s="5" t="s">
        <v>7</v>
      </c>
      <c r="C8" s="5"/>
      <c r="D8" s="5" t="s">
        <v>82</v>
      </c>
      <c r="E8" s="5" t="s">
        <v>83</v>
      </c>
      <c r="F8" s="5" t="s">
        <v>84</v>
      </c>
      <c r="G8" s="9">
        <v>1</v>
      </c>
      <c r="H8" s="9">
        <v>25000</v>
      </c>
      <c r="I8" s="10">
        <v>25000</v>
      </c>
      <c r="J8" s="7">
        <f t="shared" si="0"/>
        <v>25000</v>
      </c>
      <c r="K8" s="7">
        <f t="shared" si="1"/>
        <v>0</v>
      </c>
      <c r="L8" s="5"/>
      <c r="M8" s="5">
        <v>2</v>
      </c>
      <c r="N8" s="5" t="s">
        <v>76</v>
      </c>
      <c r="O8" s="5" t="s">
        <v>7</v>
      </c>
      <c r="P8" s="5"/>
    </row>
    <row r="9" spans="1:16" ht="14" customHeight="1">
      <c r="A9" s="6" t="s">
        <v>85</v>
      </c>
      <c r="B9" s="6" t="s">
        <v>7</v>
      </c>
      <c r="C9" s="6"/>
      <c r="D9" s="6" t="s">
        <v>86</v>
      </c>
      <c r="E9" s="6" t="s">
        <v>87</v>
      </c>
      <c r="F9" s="6" t="s">
        <v>75</v>
      </c>
      <c r="G9" s="11">
        <v>1</v>
      </c>
      <c r="H9" s="11">
        <v>15000</v>
      </c>
      <c r="I9" s="12">
        <v>15000</v>
      </c>
      <c r="J9" s="8">
        <f t="shared" si="0"/>
        <v>15000</v>
      </c>
      <c r="K9" s="8">
        <f t="shared" si="1"/>
        <v>0</v>
      </c>
      <c r="L9" s="6"/>
      <c r="M9" s="6">
        <v>2</v>
      </c>
      <c r="N9" s="6" t="s">
        <v>76</v>
      </c>
      <c r="O9" s="6" t="s">
        <v>7</v>
      </c>
      <c r="P9" s="6"/>
    </row>
    <row r="10" spans="1:16" ht="14" customHeight="1">
      <c r="A10" s="5" t="s">
        <v>88</v>
      </c>
      <c r="B10" s="5" t="s">
        <v>7</v>
      </c>
      <c r="C10" s="5"/>
      <c r="D10" s="5" t="s">
        <v>89</v>
      </c>
      <c r="E10" s="5" t="s">
        <v>90</v>
      </c>
      <c r="F10" s="5" t="s">
        <v>84</v>
      </c>
      <c r="G10" s="9">
        <v>2</v>
      </c>
      <c r="H10" s="9">
        <v>15000</v>
      </c>
      <c r="I10" s="10">
        <v>30000</v>
      </c>
      <c r="J10" s="7">
        <f t="shared" si="0"/>
        <v>30000</v>
      </c>
      <c r="K10" s="7">
        <f t="shared" si="1"/>
        <v>0</v>
      </c>
      <c r="L10" s="5"/>
      <c r="M10" s="5">
        <v>2</v>
      </c>
      <c r="N10" s="5" t="s">
        <v>76</v>
      </c>
      <c r="O10" s="5" t="s">
        <v>7</v>
      </c>
      <c r="P10" s="5"/>
    </row>
    <row r="11" spans="1:16" ht="14" customHeight="1">
      <c r="A11" s="6" t="s">
        <v>91</v>
      </c>
      <c r="B11" s="6" t="s">
        <v>7</v>
      </c>
      <c r="C11" s="6"/>
      <c r="D11" s="6" t="s">
        <v>92</v>
      </c>
      <c r="E11" s="6" t="s">
        <v>93</v>
      </c>
      <c r="F11" s="6" t="s">
        <v>75</v>
      </c>
      <c r="G11" s="11">
        <v>1</v>
      </c>
      <c r="H11" s="11"/>
      <c r="I11" s="12"/>
      <c r="J11" s="8" t="str">
        <f t="shared" si="0"/>
        <v/>
      </c>
      <c r="K11" s="8" t="str">
        <f t="shared" si="1"/>
        <v/>
      </c>
      <c r="L11" s="6" t="s">
        <v>94</v>
      </c>
      <c r="M11" s="6">
        <v>2</v>
      </c>
      <c r="N11" s="6" t="s">
        <v>76</v>
      </c>
      <c r="O11" s="6" t="s">
        <v>7</v>
      </c>
      <c r="P11" s="6" t="s">
        <v>95</v>
      </c>
    </row>
    <row r="12" spans="1:16" ht="14" customHeight="1">
      <c r="A12" s="5" t="s">
        <v>96</v>
      </c>
      <c r="B12" s="5" t="s">
        <v>7</v>
      </c>
      <c r="C12" s="5"/>
      <c r="D12" s="5" t="s">
        <v>97</v>
      </c>
      <c r="E12" s="5" t="s">
        <v>98</v>
      </c>
      <c r="F12" s="5" t="s">
        <v>99</v>
      </c>
      <c r="G12" s="9">
        <v>1</v>
      </c>
      <c r="H12" s="9"/>
      <c r="I12" s="10"/>
      <c r="J12" s="7" t="str">
        <f t="shared" si="0"/>
        <v/>
      </c>
      <c r="K12" s="7" t="str">
        <f t="shared" si="1"/>
        <v/>
      </c>
      <c r="L12" s="5" t="s">
        <v>100</v>
      </c>
      <c r="M12" s="5">
        <v>2</v>
      </c>
      <c r="N12" s="5" t="s">
        <v>76</v>
      </c>
      <c r="O12" s="5" t="s">
        <v>7</v>
      </c>
      <c r="P12" s="5" t="s">
        <v>95</v>
      </c>
    </row>
    <row r="13" spans="1:16" ht="14" customHeight="1">
      <c r="A13" s="6" t="s">
        <v>101</v>
      </c>
      <c r="B13" s="6" t="s">
        <v>7</v>
      </c>
      <c r="C13" s="6"/>
      <c r="D13" s="6" t="s">
        <v>102</v>
      </c>
      <c r="E13" s="6" t="s">
        <v>103</v>
      </c>
      <c r="F13" s="6" t="s">
        <v>104</v>
      </c>
      <c r="G13" s="11">
        <v>1182.8900000000001</v>
      </c>
      <c r="H13" s="11">
        <v>500</v>
      </c>
      <c r="I13" s="12">
        <v>591445</v>
      </c>
      <c r="J13" s="8">
        <f t="shared" si="0"/>
        <v>591445</v>
      </c>
      <c r="K13" s="8">
        <f t="shared" si="1"/>
        <v>0</v>
      </c>
      <c r="L13" s="6"/>
      <c r="M13" s="6">
        <v>2</v>
      </c>
      <c r="N13" s="6" t="s">
        <v>76</v>
      </c>
      <c r="O13" s="6" t="s">
        <v>7</v>
      </c>
      <c r="P13" s="6"/>
    </row>
    <row r="14" spans="1:16" ht="14" customHeight="1">
      <c r="A14" s="5" t="s">
        <v>105</v>
      </c>
      <c r="B14" s="5" t="s">
        <v>7</v>
      </c>
      <c r="C14" s="5"/>
      <c r="D14" s="5" t="s">
        <v>106</v>
      </c>
      <c r="E14" s="5" t="s">
        <v>107</v>
      </c>
      <c r="F14" s="5" t="s">
        <v>104</v>
      </c>
      <c r="G14" s="9">
        <v>1182.8900000000001</v>
      </c>
      <c r="H14" s="9">
        <v>350</v>
      </c>
      <c r="I14" s="10">
        <v>414012</v>
      </c>
      <c r="J14" s="7">
        <f t="shared" si="0"/>
        <v>414012</v>
      </c>
      <c r="K14" s="7">
        <f t="shared" si="1"/>
        <v>0</v>
      </c>
      <c r="L14" s="5"/>
      <c r="M14" s="5">
        <v>2</v>
      </c>
      <c r="N14" s="5" t="s">
        <v>76</v>
      </c>
      <c r="O14" s="5" t="s">
        <v>7</v>
      </c>
      <c r="P14" s="5"/>
    </row>
    <row r="15" spans="1:16" ht="14" customHeight="1">
      <c r="A15" s="6" t="s">
        <v>108</v>
      </c>
      <c r="B15" s="6" t="s">
        <v>7</v>
      </c>
      <c r="C15" s="6"/>
      <c r="D15" s="6" t="s">
        <v>109</v>
      </c>
      <c r="E15" s="6" t="s">
        <v>110</v>
      </c>
      <c r="F15" s="6" t="s">
        <v>75</v>
      </c>
      <c r="G15" s="11">
        <v>1</v>
      </c>
      <c r="H15" s="11">
        <v>80000</v>
      </c>
      <c r="I15" s="12">
        <v>80000</v>
      </c>
      <c r="J15" s="8">
        <f t="shared" si="0"/>
        <v>80000</v>
      </c>
      <c r="K15" s="8">
        <f t="shared" si="1"/>
        <v>0</v>
      </c>
      <c r="L15" s="6"/>
      <c r="M15" s="6">
        <v>2</v>
      </c>
      <c r="N15" s="6" t="s">
        <v>76</v>
      </c>
      <c r="O15" s="6" t="s">
        <v>7</v>
      </c>
      <c r="P15" s="6"/>
    </row>
    <row r="16" spans="1:16" ht="14" customHeight="1">
      <c r="A16" s="5" t="s">
        <v>111</v>
      </c>
      <c r="B16" s="5" t="s">
        <v>7</v>
      </c>
      <c r="C16" s="5"/>
      <c r="D16" s="5" t="s">
        <v>112</v>
      </c>
      <c r="E16" s="5" t="s">
        <v>113</v>
      </c>
      <c r="F16" s="5" t="s">
        <v>75</v>
      </c>
      <c r="G16" s="9">
        <v>1</v>
      </c>
      <c r="H16" s="9">
        <v>50000</v>
      </c>
      <c r="I16" s="10">
        <v>50000</v>
      </c>
      <c r="J16" s="7">
        <f t="shared" si="0"/>
        <v>50000</v>
      </c>
      <c r="K16" s="7">
        <f t="shared" si="1"/>
        <v>0</v>
      </c>
      <c r="L16" s="5"/>
      <c r="M16" s="5">
        <v>2</v>
      </c>
      <c r="N16" s="5" t="s">
        <v>76</v>
      </c>
      <c r="O16" s="5" t="s">
        <v>7</v>
      </c>
      <c r="P16" s="5"/>
    </row>
    <row r="17" spans="1:16" ht="14" customHeight="1">
      <c r="A17" s="6" t="s">
        <v>114</v>
      </c>
      <c r="B17" s="6" t="s">
        <v>7</v>
      </c>
      <c r="C17" s="6"/>
      <c r="D17" s="6" t="s">
        <v>115</v>
      </c>
      <c r="E17" s="6" t="s">
        <v>116</v>
      </c>
      <c r="F17" s="6" t="s">
        <v>75</v>
      </c>
      <c r="G17" s="11">
        <v>1</v>
      </c>
      <c r="H17" s="11">
        <v>150000</v>
      </c>
      <c r="I17" s="12">
        <v>150000</v>
      </c>
      <c r="J17" s="8">
        <f t="shared" si="0"/>
        <v>150000</v>
      </c>
      <c r="K17" s="8">
        <f t="shared" si="1"/>
        <v>0</v>
      </c>
      <c r="L17" s="6"/>
      <c r="M17" s="6">
        <v>2</v>
      </c>
      <c r="N17" s="6" t="s">
        <v>76</v>
      </c>
      <c r="O17" s="6" t="s">
        <v>7</v>
      </c>
      <c r="P17" s="6"/>
    </row>
    <row r="18" spans="1:16" ht="14" customHeight="1">
      <c r="A18" s="5" t="s">
        <v>117</v>
      </c>
      <c r="B18" s="5" t="s">
        <v>7</v>
      </c>
      <c r="C18" s="5"/>
      <c r="D18" s="5" t="s">
        <v>118</v>
      </c>
      <c r="E18" s="5" t="s">
        <v>119</v>
      </c>
      <c r="F18" s="5" t="s">
        <v>75</v>
      </c>
      <c r="G18" s="9">
        <v>1</v>
      </c>
      <c r="H18" s="9">
        <v>500000</v>
      </c>
      <c r="I18" s="10">
        <v>500000</v>
      </c>
      <c r="J18" s="7">
        <f t="shared" si="0"/>
        <v>500000</v>
      </c>
      <c r="K18" s="7">
        <f t="shared" si="1"/>
        <v>0</v>
      </c>
      <c r="L18" s="5"/>
      <c r="M18" s="5">
        <v>2</v>
      </c>
      <c r="N18" s="5" t="s">
        <v>76</v>
      </c>
      <c r="O18" s="5" t="s">
        <v>7</v>
      </c>
      <c r="P18" s="5"/>
    </row>
    <row r="19" spans="1:16" ht="14" customHeight="1">
      <c r="A19" s="6" t="s">
        <v>120</v>
      </c>
      <c r="B19" s="6" t="s">
        <v>7</v>
      </c>
      <c r="C19" s="6"/>
      <c r="D19" s="6" t="s">
        <v>121</v>
      </c>
      <c r="E19" s="6" t="s">
        <v>122</v>
      </c>
      <c r="F19" s="6" t="s">
        <v>75</v>
      </c>
      <c r="G19" s="11">
        <v>1</v>
      </c>
      <c r="H19" s="11">
        <v>300000</v>
      </c>
      <c r="I19" s="12">
        <v>300000</v>
      </c>
      <c r="J19" s="8">
        <f t="shared" si="0"/>
        <v>300000</v>
      </c>
      <c r="K19" s="8">
        <f t="shared" si="1"/>
        <v>0</v>
      </c>
      <c r="L19" s="6"/>
      <c r="M19" s="6">
        <v>2</v>
      </c>
      <c r="N19" s="6" t="s">
        <v>76</v>
      </c>
      <c r="O19" s="6" t="s">
        <v>7</v>
      </c>
      <c r="P19" s="6"/>
    </row>
    <row r="20" spans="1:16" ht="14" customHeight="1">
      <c r="A20" s="5" t="s">
        <v>123</v>
      </c>
      <c r="B20" s="5" t="s">
        <v>7</v>
      </c>
      <c r="C20" s="5"/>
      <c r="D20" s="5" t="s">
        <v>124</v>
      </c>
      <c r="E20" s="5" t="s">
        <v>125</v>
      </c>
      <c r="F20" s="5" t="s">
        <v>126</v>
      </c>
      <c r="G20" s="9">
        <v>5</v>
      </c>
      <c r="H20" s="9">
        <v>15000</v>
      </c>
      <c r="I20" s="10">
        <v>75000</v>
      </c>
      <c r="J20" s="7">
        <f t="shared" si="0"/>
        <v>75000</v>
      </c>
      <c r="K20" s="7">
        <f t="shared" si="1"/>
        <v>0</v>
      </c>
      <c r="L20" s="5"/>
      <c r="M20" s="5">
        <v>2</v>
      </c>
      <c r="N20" s="5" t="s">
        <v>76</v>
      </c>
      <c r="O20" s="5" t="s">
        <v>7</v>
      </c>
      <c r="P20" s="5"/>
    </row>
    <row r="21" spans="1:16" ht="14" customHeight="1">
      <c r="A21" s="6" t="s">
        <v>127</v>
      </c>
      <c r="B21" s="6" t="s">
        <v>7</v>
      </c>
      <c r="C21" s="6"/>
      <c r="D21" s="6" t="s">
        <v>128</v>
      </c>
      <c r="E21" s="6" t="s">
        <v>129</v>
      </c>
      <c r="F21" s="6" t="s">
        <v>130</v>
      </c>
      <c r="G21" s="11">
        <v>485</v>
      </c>
      <c r="H21" s="11">
        <v>4500</v>
      </c>
      <c r="I21" s="12">
        <v>2182500</v>
      </c>
      <c r="J21" s="8">
        <f t="shared" si="0"/>
        <v>2182500</v>
      </c>
      <c r="K21" s="8">
        <f t="shared" si="1"/>
        <v>0</v>
      </c>
      <c r="L21" s="6"/>
      <c r="M21" s="6">
        <v>2</v>
      </c>
      <c r="N21" s="6" t="s">
        <v>76</v>
      </c>
      <c r="O21" s="6" t="s">
        <v>7</v>
      </c>
      <c r="P21" s="6"/>
    </row>
    <row r="22" spans="1:16" ht="14" customHeight="1">
      <c r="A22" s="5" t="s">
        <v>131</v>
      </c>
      <c r="B22" s="5" t="s">
        <v>7</v>
      </c>
      <c r="C22" s="5"/>
      <c r="D22" s="5" t="s">
        <v>132</v>
      </c>
      <c r="E22" s="5" t="s">
        <v>133</v>
      </c>
      <c r="F22" s="5" t="s">
        <v>130</v>
      </c>
      <c r="G22" s="9">
        <v>485</v>
      </c>
      <c r="H22" s="9">
        <v>800</v>
      </c>
      <c r="I22" s="10">
        <v>388000</v>
      </c>
      <c r="J22" s="7">
        <f t="shared" si="0"/>
        <v>388000</v>
      </c>
      <c r="K22" s="7">
        <f t="shared" si="1"/>
        <v>0</v>
      </c>
      <c r="L22" s="5" t="s">
        <v>134</v>
      </c>
      <c r="M22" s="5">
        <v>2</v>
      </c>
      <c r="N22" s="5" t="s">
        <v>76</v>
      </c>
      <c r="O22" s="5" t="s">
        <v>7</v>
      </c>
      <c r="P22" s="5"/>
    </row>
    <row r="23" spans="1:16" ht="14" customHeight="1">
      <c r="A23" s="6" t="s">
        <v>135</v>
      </c>
      <c r="B23" s="6" t="s">
        <v>7</v>
      </c>
      <c r="C23" s="6"/>
      <c r="D23" s="6" t="s">
        <v>136</v>
      </c>
      <c r="E23" s="6" t="s">
        <v>137</v>
      </c>
      <c r="F23" s="6" t="s">
        <v>75</v>
      </c>
      <c r="G23" s="11">
        <v>1</v>
      </c>
      <c r="H23" s="11">
        <v>75000</v>
      </c>
      <c r="I23" s="12">
        <v>75000</v>
      </c>
      <c r="J23" s="8">
        <f t="shared" si="0"/>
        <v>75000</v>
      </c>
      <c r="K23" s="8">
        <f t="shared" si="1"/>
        <v>0</v>
      </c>
      <c r="L23" s="6" t="s">
        <v>134</v>
      </c>
      <c r="M23" s="6">
        <v>2</v>
      </c>
      <c r="N23" s="6" t="s">
        <v>76</v>
      </c>
      <c r="O23" s="6" t="s">
        <v>7</v>
      </c>
      <c r="P23" s="6"/>
    </row>
    <row r="24" spans="1:16" ht="14" customHeight="1">
      <c r="A24" s="5" t="s">
        <v>138</v>
      </c>
      <c r="B24" s="5" t="s">
        <v>7</v>
      </c>
      <c r="C24" s="5"/>
      <c r="D24" s="5" t="s">
        <v>139</v>
      </c>
      <c r="E24" s="5" t="s">
        <v>140</v>
      </c>
      <c r="F24" s="5" t="s">
        <v>75</v>
      </c>
      <c r="G24" s="9">
        <v>1</v>
      </c>
      <c r="H24" s="9">
        <v>350000</v>
      </c>
      <c r="I24" s="10">
        <v>350000</v>
      </c>
      <c r="J24" s="7">
        <f t="shared" si="0"/>
        <v>350000</v>
      </c>
      <c r="K24" s="7">
        <f t="shared" si="1"/>
        <v>0</v>
      </c>
      <c r="L24" s="5"/>
      <c r="M24" s="5">
        <v>2</v>
      </c>
      <c r="N24" s="5" t="s">
        <v>76</v>
      </c>
      <c r="O24" s="5" t="s">
        <v>7</v>
      </c>
      <c r="P24" s="5"/>
    </row>
    <row r="25" spans="1:16" ht="14" customHeight="1">
      <c r="A25" s="6" t="s">
        <v>141</v>
      </c>
      <c r="B25" s="6" t="s">
        <v>7</v>
      </c>
      <c r="C25" s="6"/>
      <c r="D25" s="6" t="s">
        <v>142</v>
      </c>
      <c r="E25" s="6" t="s">
        <v>143</v>
      </c>
      <c r="F25" s="6" t="s">
        <v>75</v>
      </c>
      <c r="G25" s="11">
        <v>1</v>
      </c>
      <c r="H25" s="11">
        <v>250000</v>
      </c>
      <c r="I25" s="12">
        <v>250000</v>
      </c>
      <c r="J25" s="8">
        <f t="shared" si="0"/>
        <v>250000</v>
      </c>
      <c r="K25" s="8">
        <f t="shared" si="1"/>
        <v>0</v>
      </c>
      <c r="L25" s="6"/>
      <c r="M25" s="6">
        <v>2</v>
      </c>
      <c r="N25" s="6" t="s">
        <v>76</v>
      </c>
      <c r="O25" s="6" t="s">
        <v>7</v>
      </c>
      <c r="P25" s="6"/>
    </row>
    <row r="26" spans="1:16" ht="14" customHeight="1">
      <c r="A26" s="5" t="s">
        <v>144</v>
      </c>
      <c r="B26" s="5" t="s">
        <v>7</v>
      </c>
      <c r="C26" s="5"/>
      <c r="D26" s="5" t="s">
        <v>145</v>
      </c>
      <c r="E26" s="5" t="s">
        <v>146</v>
      </c>
      <c r="F26" s="5" t="s">
        <v>75</v>
      </c>
      <c r="G26" s="9">
        <v>1</v>
      </c>
      <c r="H26" s="9">
        <v>750000</v>
      </c>
      <c r="I26" s="10">
        <v>750000</v>
      </c>
      <c r="J26" s="7">
        <f t="shared" si="0"/>
        <v>750000</v>
      </c>
      <c r="K26" s="7">
        <f t="shared" si="1"/>
        <v>0</v>
      </c>
      <c r="L26" s="5"/>
      <c r="M26" s="5">
        <v>2</v>
      </c>
      <c r="N26" s="5" t="s">
        <v>76</v>
      </c>
      <c r="O26" s="5" t="s">
        <v>7</v>
      </c>
      <c r="P26" s="5"/>
    </row>
    <row r="27" spans="1:16" ht="14" customHeight="1">
      <c r="A27" s="6" t="s">
        <v>147</v>
      </c>
      <c r="B27" s="6" t="s">
        <v>8</v>
      </c>
      <c r="C27" s="6"/>
      <c r="D27" s="6" t="s">
        <v>73</v>
      </c>
      <c r="E27" s="6" t="s">
        <v>148</v>
      </c>
      <c r="F27" s="6" t="s">
        <v>149</v>
      </c>
      <c r="G27" s="11">
        <v>3903.5</v>
      </c>
      <c r="H27" s="11">
        <v>75</v>
      </c>
      <c r="I27" s="12">
        <v>292763</v>
      </c>
      <c r="J27" s="8">
        <f t="shared" si="0"/>
        <v>292763</v>
      </c>
      <c r="K27" s="8">
        <f t="shared" si="1"/>
        <v>0</v>
      </c>
      <c r="L27" s="6"/>
      <c r="M27" s="6">
        <v>2</v>
      </c>
      <c r="N27" s="6" t="s">
        <v>76</v>
      </c>
      <c r="O27" s="6" t="s">
        <v>150</v>
      </c>
      <c r="P27" s="6"/>
    </row>
    <row r="28" spans="1:16" ht="14" customHeight="1">
      <c r="A28" s="5" t="s">
        <v>151</v>
      </c>
      <c r="B28" s="5" t="s">
        <v>8</v>
      </c>
      <c r="C28" s="5"/>
      <c r="D28" s="5" t="s">
        <v>78</v>
      </c>
      <c r="E28" s="5" t="s">
        <v>152</v>
      </c>
      <c r="F28" s="5" t="s">
        <v>130</v>
      </c>
      <c r="G28" s="9">
        <v>4485</v>
      </c>
      <c r="H28" s="9">
        <v>285</v>
      </c>
      <c r="I28" s="10">
        <v>1278225</v>
      </c>
      <c r="J28" s="7">
        <f t="shared" si="0"/>
        <v>1278225</v>
      </c>
      <c r="K28" s="7">
        <f t="shared" si="1"/>
        <v>0</v>
      </c>
      <c r="L28" s="5"/>
      <c r="M28" s="5">
        <v>2</v>
      </c>
      <c r="N28" s="5" t="s">
        <v>76</v>
      </c>
      <c r="O28" s="5" t="s">
        <v>150</v>
      </c>
      <c r="P28" s="5"/>
    </row>
    <row r="29" spans="1:16" ht="14" customHeight="1">
      <c r="A29" s="6" t="s">
        <v>153</v>
      </c>
      <c r="B29" s="6" t="s">
        <v>8</v>
      </c>
      <c r="C29" s="6"/>
      <c r="D29" s="6" t="s">
        <v>82</v>
      </c>
      <c r="E29" s="6" t="s">
        <v>154</v>
      </c>
      <c r="F29" s="6" t="s">
        <v>130</v>
      </c>
      <c r="G29" s="11">
        <v>425</v>
      </c>
      <c r="H29" s="11">
        <v>3000</v>
      </c>
      <c r="I29" s="12">
        <v>1275000</v>
      </c>
      <c r="J29" s="8">
        <f t="shared" si="0"/>
        <v>1275000</v>
      </c>
      <c r="K29" s="8">
        <f t="shared" si="1"/>
        <v>0</v>
      </c>
      <c r="L29" s="6"/>
      <c r="M29" s="6">
        <v>2</v>
      </c>
      <c r="N29" s="6" t="s">
        <v>76</v>
      </c>
      <c r="O29" s="6" t="s">
        <v>150</v>
      </c>
      <c r="P29" s="6"/>
    </row>
    <row r="30" spans="1:16" ht="14" customHeight="1">
      <c r="A30" s="5" t="s">
        <v>155</v>
      </c>
      <c r="B30" s="5" t="s">
        <v>8</v>
      </c>
      <c r="C30" s="5"/>
      <c r="D30" s="5" t="s">
        <v>86</v>
      </c>
      <c r="E30" s="5" t="s">
        <v>156</v>
      </c>
      <c r="F30" s="5" t="s">
        <v>130</v>
      </c>
      <c r="G30" s="9">
        <v>3250</v>
      </c>
      <c r="H30" s="9">
        <v>285</v>
      </c>
      <c r="I30" s="10">
        <v>926250</v>
      </c>
      <c r="J30" s="7">
        <f t="shared" si="0"/>
        <v>926250</v>
      </c>
      <c r="K30" s="7">
        <f t="shared" si="1"/>
        <v>0</v>
      </c>
      <c r="L30" s="5"/>
      <c r="M30" s="5">
        <v>2</v>
      </c>
      <c r="N30" s="5" t="s">
        <v>76</v>
      </c>
      <c r="O30" s="5" t="s">
        <v>150</v>
      </c>
      <c r="P30" s="5"/>
    </row>
    <row r="31" spans="1:16" ht="14" customHeight="1">
      <c r="A31" s="6" t="s">
        <v>157</v>
      </c>
      <c r="B31" s="6" t="s">
        <v>8</v>
      </c>
      <c r="C31" s="6"/>
      <c r="D31" s="6" t="s">
        <v>89</v>
      </c>
      <c r="E31" s="6" t="s">
        <v>158</v>
      </c>
      <c r="F31" s="6" t="s">
        <v>149</v>
      </c>
      <c r="G31" s="11">
        <v>9185</v>
      </c>
      <c r="H31" s="11">
        <v>1450</v>
      </c>
      <c r="I31" s="12">
        <v>13318250</v>
      </c>
      <c r="J31" s="8">
        <f t="shared" si="0"/>
        <v>13318250</v>
      </c>
      <c r="K31" s="8">
        <f t="shared" si="1"/>
        <v>0</v>
      </c>
      <c r="L31" s="6"/>
      <c r="M31" s="6">
        <v>2</v>
      </c>
      <c r="N31" s="6" t="s">
        <v>76</v>
      </c>
      <c r="O31" s="6" t="s">
        <v>150</v>
      </c>
      <c r="P31" s="6"/>
    </row>
    <row r="32" spans="1:16" ht="14" customHeight="1">
      <c r="A32" s="5" t="s">
        <v>159</v>
      </c>
      <c r="B32" s="5" t="s">
        <v>8</v>
      </c>
      <c r="C32" s="5"/>
      <c r="D32" s="5" t="s">
        <v>92</v>
      </c>
      <c r="E32" s="5" t="s">
        <v>160</v>
      </c>
      <c r="F32" s="5" t="s">
        <v>149</v>
      </c>
      <c r="G32" s="9">
        <v>3525</v>
      </c>
      <c r="H32" s="9">
        <v>1000</v>
      </c>
      <c r="I32" s="10">
        <v>3525000</v>
      </c>
      <c r="J32" s="7">
        <f t="shared" si="0"/>
        <v>3525000</v>
      </c>
      <c r="K32" s="7">
        <f t="shared" si="1"/>
        <v>0</v>
      </c>
      <c r="L32" s="5"/>
      <c r="M32" s="5">
        <v>2</v>
      </c>
      <c r="N32" s="5" t="s">
        <v>76</v>
      </c>
      <c r="O32" s="5" t="s">
        <v>150</v>
      </c>
      <c r="P32" s="5"/>
    </row>
    <row r="33" spans="1:16" ht="14" customHeight="1">
      <c r="A33" s="6" t="s">
        <v>161</v>
      </c>
      <c r="B33" s="6" t="s">
        <v>8</v>
      </c>
      <c r="C33" s="6"/>
      <c r="D33" s="6" t="s">
        <v>97</v>
      </c>
      <c r="E33" s="6" t="s">
        <v>162</v>
      </c>
      <c r="F33" s="6" t="s">
        <v>163</v>
      </c>
      <c r="G33" s="11">
        <v>648</v>
      </c>
      <c r="H33" s="11">
        <v>30100</v>
      </c>
      <c r="I33" s="12">
        <v>19504800</v>
      </c>
      <c r="J33" s="8">
        <f t="shared" si="0"/>
        <v>19504800</v>
      </c>
      <c r="K33" s="8">
        <f t="shared" si="1"/>
        <v>0</v>
      </c>
      <c r="L33" s="6"/>
      <c r="M33" s="6">
        <v>2</v>
      </c>
      <c r="N33" s="6" t="s">
        <v>76</v>
      </c>
      <c r="O33" s="6" t="s">
        <v>150</v>
      </c>
      <c r="P33" s="6"/>
    </row>
    <row r="34" spans="1:16" ht="14" customHeight="1">
      <c r="A34" s="5" t="s">
        <v>164</v>
      </c>
      <c r="B34" s="5" t="s">
        <v>8</v>
      </c>
      <c r="C34" s="5"/>
      <c r="D34" s="5" t="s">
        <v>102</v>
      </c>
      <c r="E34" s="5" t="s">
        <v>165</v>
      </c>
      <c r="F34" s="5" t="s">
        <v>163</v>
      </c>
      <c r="G34" s="9">
        <v>335</v>
      </c>
      <c r="H34" s="9">
        <v>32000</v>
      </c>
      <c r="I34" s="10">
        <v>10720000</v>
      </c>
      <c r="J34" s="7">
        <f t="shared" si="0"/>
        <v>10720000</v>
      </c>
      <c r="K34" s="7">
        <f t="shared" si="1"/>
        <v>0</v>
      </c>
      <c r="L34" s="5"/>
      <c r="M34" s="5">
        <v>2</v>
      </c>
      <c r="N34" s="5" t="s">
        <v>76</v>
      </c>
      <c r="O34" s="5" t="s">
        <v>150</v>
      </c>
      <c r="P34" s="5"/>
    </row>
    <row r="35" spans="1:16" ht="14" customHeight="1">
      <c r="A35" s="6" t="s">
        <v>166</v>
      </c>
      <c r="B35" s="6" t="s">
        <v>8</v>
      </c>
      <c r="C35" s="6"/>
      <c r="D35" s="6" t="s">
        <v>106</v>
      </c>
      <c r="E35" s="6" t="s">
        <v>167</v>
      </c>
      <c r="F35" s="6" t="s">
        <v>130</v>
      </c>
      <c r="G35" s="11">
        <v>1795</v>
      </c>
      <c r="H35" s="11">
        <v>3850</v>
      </c>
      <c r="I35" s="12">
        <v>6910750</v>
      </c>
      <c r="J35" s="8">
        <f t="shared" si="0"/>
        <v>6910750</v>
      </c>
      <c r="K35" s="8">
        <f t="shared" si="1"/>
        <v>0</v>
      </c>
      <c r="L35" s="6"/>
      <c r="M35" s="6">
        <v>2</v>
      </c>
      <c r="N35" s="6" t="s">
        <v>76</v>
      </c>
      <c r="O35" s="6" t="s">
        <v>150</v>
      </c>
      <c r="P35" s="6"/>
    </row>
    <row r="36" spans="1:16" ht="14" customHeight="1">
      <c r="A36" s="5" t="s">
        <v>168</v>
      </c>
      <c r="B36" s="5" t="s">
        <v>8</v>
      </c>
      <c r="C36" s="5"/>
      <c r="D36" s="5" t="s">
        <v>109</v>
      </c>
      <c r="E36" s="5" t="s">
        <v>169</v>
      </c>
      <c r="F36" s="5" t="s">
        <v>149</v>
      </c>
      <c r="G36" s="9">
        <v>5515</v>
      </c>
      <c r="H36" s="9">
        <v>550</v>
      </c>
      <c r="I36" s="10">
        <v>3033250</v>
      </c>
      <c r="J36" s="7">
        <f t="shared" si="0"/>
        <v>3033250</v>
      </c>
      <c r="K36" s="7">
        <f t="shared" si="1"/>
        <v>0</v>
      </c>
      <c r="L36" s="5"/>
      <c r="M36" s="5">
        <v>3</v>
      </c>
      <c r="N36" s="5" t="s">
        <v>76</v>
      </c>
      <c r="O36" s="5" t="s">
        <v>150</v>
      </c>
      <c r="P36" s="5"/>
    </row>
    <row r="37" spans="1:16" ht="14" customHeight="1">
      <c r="A37" s="6" t="s">
        <v>170</v>
      </c>
      <c r="B37" s="6" t="s">
        <v>8</v>
      </c>
      <c r="C37" s="6"/>
      <c r="D37" s="6" t="s">
        <v>112</v>
      </c>
      <c r="E37" s="6" t="s">
        <v>171</v>
      </c>
      <c r="F37" s="6" t="s">
        <v>149</v>
      </c>
      <c r="G37" s="11">
        <v>1750</v>
      </c>
      <c r="H37" s="11">
        <v>285</v>
      </c>
      <c r="I37" s="12">
        <v>498750</v>
      </c>
      <c r="J37" s="8">
        <f t="shared" si="0"/>
        <v>498750</v>
      </c>
      <c r="K37" s="8">
        <f t="shared" si="1"/>
        <v>0</v>
      </c>
      <c r="L37" s="6"/>
      <c r="M37" s="6">
        <v>3</v>
      </c>
      <c r="N37" s="6" t="s">
        <v>76</v>
      </c>
      <c r="O37" s="6" t="s">
        <v>150</v>
      </c>
      <c r="P37" s="6"/>
    </row>
    <row r="38" spans="1:16" ht="14" customHeight="1">
      <c r="A38" s="5" t="s">
        <v>172</v>
      </c>
      <c r="B38" s="5" t="s">
        <v>8</v>
      </c>
      <c r="C38" s="5"/>
      <c r="D38" s="5" t="s">
        <v>115</v>
      </c>
      <c r="E38" s="5" t="s">
        <v>173</v>
      </c>
      <c r="F38" s="5" t="s">
        <v>84</v>
      </c>
      <c r="G38" s="9">
        <v>13</v>
      </c>
      <c r="H38" s="9">
        <v>145000</v>
      </c>
      <c r="I38" s="10">
        <v>1885000</v>
      </c>
      <c r="J38" s="7">
        <f t="shared" ref="J38:J69" si="2">IF(OR(G38="",H38=""),"",ROUND(G38*H38,0))</f>
        <v>1885000</v>
      </c>
      <c r="K38" s="7">
        <f t="shared" ref="K38:K69" si="3">IF(OR(I38="",J38=""),"",I38-J38)</f>
        <v>0</v>
      </c>
      <c r="L38" s="5"/>
      <c r="M38" s="5">
        <v>3</v>
      </c>
      <c r="N38" s="5" t="s">
        <v>76</v>
      </c>
      <c r="O38" s="5" t="s">
        <v>150</v>
      </c>
      <c r="P38" s="5"/>
    </row>
    <row r="39" spans="1:16" ht="14" customHeight="1">
      <c r="A39" s="6" t="s">
        <v>174</v>
      </c>
      <c r="B39" s="6" t="s">
        <v>9</v>
      </c>
      <c r="C39" s="6"/>
      <c r="D39" s="6" t="s">
        <v>73</v>
      </c>
      <c r="E39" s="6" t="s">
        <v>175</v>
      </c>
      <c r="F39" s="6" t="s">
        <v>176</v>
      </c>
      <c r="G39" s="11">
        <v>395784</v>
      </c>
      <c r="H39" s="11">
        <v>30</v>
      </c>
      <c r="I39" s="12">
        <v>11873520</v>
      </c>
      <c r="J39" s="8">
        <f t="shared" si="2"/>
        <v>11873520</v>
      </c>
      <c r="K39" s="8">
        <f t="shared" si="3"/>
        <v>0</v>
      </c>
      <c r="L39" s="6" t="s">
        <v>177</v>
      </c>
      <c r="M39" s="6">
        <v>3</v>
      </c>
      <c r="N39" s="6" t="s">
        <v>76</v>
      </c>
      <c r="O39" s="6" t="s">
        <v>9</v>
      </c>
      <c r="P39" s="6"/>
    </row>
    <row r="40" spans="1:16" ht="14" customHeight="1">
      <c r="A40" s="5" t="s">
        <v>178</v>
      </c>
      <c r="B40" s="5" t="s">
        <v>9</v>
      </c>
      <c r="C40" s="5"/>
      <c r="D40" s="5" t="s">
        <v>78</v>
      </c>
      <c r="E40" s="5" t="s">
        <v>179</v>
      </c>
      <c r="F40" s="5" t="s">
        <v>176</v>
      </c>
      <c r="G40" s="9">
        <v>35876</v>
      </c>
      <c r="H40" s="9">
        <v>38</v>
      </c>
      <c r="I40" s="10">
        <v>1363288</v>
      </c>
      <c r="J40" s="7">
        <f t="shared" si="2"/>
        <v>1363288</v>
      </c>
      <c r="K40" s="7">
        <f t="shared" si="3"/>
        <v>0</v>
      </c>
      <c r="L40" s="5" t="s">
        <v>177</v>
      </c>
      <c r="M40" s="5">
        <v>3</v>
      </c>
      <c r="N40" s="5" t="s">
        <v>76</v>
      </c>
      <c r="O40" s="5" t="s">
        <v>9</v>
      </c>
      <c r="P40" s="5"/>
    </row>
    <row r="41" spans="1:16" ht="14" customHeight="1">
      <c r="A41" s="6" t="s">
        <v>180</v>
      </c>
      <c r="B41" s="6" t="s">
        <v>9</v>
      </c>
      <c r="C41" s="6"/>
      <c r="D41" s="6" t="s">
        <v>82</v>
      </c>
      <c r="E41" s="6" t="s">
        <v>181</v>
      </c>
      <c r="F41" s="6" t="s">
        <v>176</v>
      </c>
      <c r="G41" s="11">
        <v>51103</v>
      </c>
      <c r="H41" s="11">
        <v>39</v>
      </c>
      <c r="I41" s="12">
        <v>1993017</v>
      </c>
      <c r="J41" s="8">
        <f t="shared" si="2"/>
        <v>1993017</v>
      </c>
      <c r="K41" s="8">
        <f t="shared" si="3"/>
        <v>0</v>
      </c>
      <c r="L41" s="6" t="s">
        <v>182</v>
      </c>
      <c r="M41" s="6">
        <v>3</v>
      </c>
      <c r="N41" s="6" t="s">
        <v>76</v>
      </c>
      <c r="O41" s="6" t="s">
        <v>9</v>
      </c>
      <c r="P41" s="6"/>
    </row>
    <row r="42" spans="1:16" ht="14" customHeight="1">
      <c r="A42" s="5" t="s">
        <v>183</v>
      </c>
      <c r="B42" s="5" t="s">
        <v>9</v>
      </c>
      <c r="C42" s="5"/>
      <c r="D42" s="5" t="s">
        <v>86</v>
      </c>
      <c r="E42" s="5" t="s">
        <v>184</v>
      </c>
      <c r="F42" s="5" t="s">
        <v>176</v>
      </c>
      <c r="G42" s="9">
        <v>11131</v>
      </c>
      <c r="H42" s="9">
        <v>32</v>
      </c>
      <c r="I42" s="10">
        <v>356192</v>
      </c>
      <c r="J42" s="7">
        <f t="shared" si="2"/>
        <v>356192</v>
      </c>
      <c r="K42" s="7">
        <f t="shared" si="3"/>
        <v>0</v>
      </c>
      <c r="L42" s="5" t="s">
        <v>185</v>
      </c>
      <c r="M42" s="5">
        <v>3</v>
      </c>
      <c r="N42" s="5" t="s">
        <v>76</v>
      </c>
      <c r="O42" s="5" t="s">
        <v>9</v>
      </c>
      <c r="P42" s="5"/>
    </row>
    <row r="43" spans="1:16" ht="14" customHeight="1">
      <c r="A43" s="6" t="s">
        <v>186</v>
      </c>
      <c r="B43" s="6" t="s">
        <v>9</v>
      </c>
      <c r="C43" s="6"/>
      <c r="D43" s="6" t="s">
        <v>89</v>
      </c>
      <c r="E43" s="6" t="s">
        <v>187</v>
      </c>
      <c r="F43" s="6" t="s">
        <v>176</v>
      </c>
      <c r="G43" s="11">
        <v>493894</v>
      </c>
      <c r="H43" s="11">
        <v>1</v>
      </c>
      <c r="I43" s="12">
        <v>493894</v>
      </c>
      <c r="J43" s="8">
        <f t="shared" si="2"/>
        <v>493894</v>
      </c>
      <c r="K43" s="8">
        <f t="shared" si="3"/>
        <v>0</v>
      </c>
      <c r="L43" s="6"/>
      <c r="M43" s="6">
        <v>3</v>
      </c>
      <c r="N43" s="6" t="s">
        <v>76</v>
      </c>
      <c r="O43" s="6" t="s">
        <v>9</v>
      </c>
      <c r="P43" s="6"/>
    </row>
    <row r="44" spans="1:16" ht="14" customHeight="1">
      <c r="A44" s="5" t="s">
        <v>188</v>
      </c>
      <c r="B44" s="5" t="s">
        <v>9</v>
      </c>
      <c r="C44" s="5"/>
      <c r="D44" s="5" t="s">
        <v>92</v>
      </c>
      <c r="E44" s="5" t="s">
        <v>189</v>
      </c>
      <c r="F44" s="5" t="s">
        <v>176</v>
      </c>
      <c r="G44" s="9">
        <v>493894</v>
      </c>
      <c r="H44" s="9">
        <v>3.2</v>
      </c>
      <c r="I44" s="10">
        <v>1580461</v>
      </c>
      <c r="J44" s="7">
        <f t="shared" si="2"/>
        <v>1580461</v>
      </c>
      <c r="K44" s="7">
        <f t="shared" si="3"/>
        <v>0</v>
      </c>
      <c r="L44" s="5" t="s">
        <v>190</v>
      </c>
      <c r="M44" s="5">
        <v>3</v>
      </c>
      <c r="N44" s="5" t="s">
        <v>76</v>
      </c>
      <c r="O44" s="5" t="s">
        <v>9</v>
      </c>
      <c r="P44" s="5"/>
    </row>
    <row r="45" spans="1:16" ht="14" customHeight="1">
      <c r="A45" s="6" t="s">
        <v>191</v>
      </c>
      <c r="B45" s="6" t="s">
        <v>9</v>
      </c>
      <c r="C45" s="6"/>
      <c r="D45" s="6" t="s">
        <v>97</v>
      </c>
      <c r="E45" s="6" t="s">
        <v>192</v>
      </c>
      <c r="F45" s="6" t="s">
        <v>176</v>
      </c>
      <c r="G45" s="11">
        <v>9131</v>
      </c>
      <c r="H45" s="11">
        <v>8.4</v>
      </c>
      <c r="I45" s="12">
        <v>76700</v>
      </c>
      <c r="J45" s="8">
        <f t="shared" si="2"/>
        <v>76700</v>
      </c>
      <c r="K45" s="8">
        <f t="shared" si="3"/>
        <v>0</v>
      </c>
      <c r="L45" s="6"/>
      <c r="M45" s="6">
        <v>3</v>
      </c>
      <c r="N45" s="6" t="s">
        <v>76</v>
      </c>
      <c r="O45" s="6" t="s">
        <v>9</v>
      </c>
      <c r="P45" s="6"/>
    </row>
    <row r="46" spans="1:16" ht="14" customHeight="1">
      <c r="A46" s="5" t="s">
        <v>193</v>
      </c>
      <c r="B46" s="5" t="s">
        <v>9</v>
      </c>
      <c r="C46" s="5"/>
      <c r="D46" s="5" t="s">
        <v>102</v>
      </c>
      <c r="E46" s="5" t="s">
        <v>194</v>
      </c>
      <c r="F46" s="5" t="s">
        <v>176</v>
      </c>
      <c r="G46" s="9">
        <v>493894</v>
      </c>
      <c r="H46" s="9">
        <v>10.5</v>
      </c>
      <c r="I46" s="10">
        <v>5185887</v>
      </c>
      <c r="J46" s="7">
        <f t="shared" si="2"/>
        <v>5185887</v>
      </c>
      <c r="K46" s="7">
        <f t="shared" si="3"/>
        <v>0</v>
      </c>
      <c r="L46" s="5"/>
      <c r="M46" s="5">
        <v>3</v>
      </c>
      <c r="N46" s="5" t="s">
        <v>76</v>
      </c>
      <c r="O46" s="5" t="s">
        <v>9</v>
      </c>
      <c r="P46" s="5"/>
    </row>
    <row r="47" spans="1:16" ht="14" customHeight="1">
      <c r="A47" s="6" t="s">
        <v>195</v>
      </c>
      <c r="B47" s="6" t="s">
        <v>9</v>
      </c>
      <c r="C47" s="6"/>
      <c r="D47" s="6" t="s">
        <v>106</v>
      </c>
      <c r="E47" s="6" t="s">
        <v>196</v>
      </c>
      <c r="F47" s="6" t="s">
        <v>176</v>
      </c>
      <c r="G47" s="11">
        <v>493894</v>
      </c>
      <c r="H47" s="11">
        <v>8</v>
      </c>
      <c r="I47" s="12">
        <v>3951152</v>
      </c>
      <c r="J47" s="8">
        <f t="shared" si="2"/>
        <v>3951152</v>
      </c>
      <c r="K47" s="8">
        <f t="shared" si="3"/>
        <v>0</v>
      </c>
      <c r="L47" s="6"/>
      <c r="M47" s="6">
        <v>3</v>
      </c>
      <c r="N47" s="6" t="s">
        <v>76</v>
      </c>
      <c r="O47" s="6" t="s">
        <v>9</v>
      </c>
      <c r="P47" s="6"/>
    </row>
    <row r="48" spans="1:16" ht="14" customHeight="1">
      <c r="A48" s="5" t="s">
        <v>197</v>
      </c>
      <c r="B48" s="5" t="s">
        <v>9</v>
      </c>
      <c r="C48" s="5"/>
      <c r="D48" s="5" t="s">
        <v>109</v>
      </c>
      <c r="E48" s="5" t="s">
        <v>198</v>
      </c>
      <c r="F48" s="5" t="s">
        <v>176</v>
      </c>
      <c r="G48" s="9">
        <v>493894</v>
      </c>
      <c r="H48" s="9">
        <v>0.7</v>
      </c>
      <c r="I48" s="10">
        <v>345726</v>
      </c>
      <c r="J48" s="7">
        <f t="shared" si="2"/>
        <v>345726</v>
      </c>
      <c r="K48" s="7">
        <f t="shared" si="3"/>
        <v>0</v>
      </c>
      <c r="L48" s="5"/>
      <c r="M48" s="5">
        <v>3</v>
      </c>
      <c r="N48" s="5" t="s">
        <v>76</v>
      </c>
      <c r="O48" s="5" t="s">
        <v>9</v>
      </c>
      <c r="P48" s="5"/>
    </row>
    <row r="49" spans="1:16" ht="14" customHeight="1">
      <c r="A49" s="6" t="s">
        <v>199</v>
      </c>
      <c r="B49" s="6" t="s">
        <v>9</v>
      </c>
      <c r="C49" s="6"/>
      <c r="D49" s="6" t="s">
        <v>112</v>
      </c>
      <c r="E49" s="6" t="s">
        <v>200</v>
      </c>
      <c r="F49" s="6" t="s">
        <v>201</v>
      </c>
      <c r="G49" s="11">
        <v>396</v>
      </c>
      <c r="H49" s="11">
        <v>735</v>
      </c>
      <c r="I49" s="12">
        <v>291060</v>
      </c>
      <c r="J49" s="8">
        <f t="shared" si="2"/>
        <v>291060</v>
      </c>
      <c r="K49" s="8">
        <f t="shared" si="3"/>
        <v>0</v>
      </c>
      <c r="L49" s="6"/>
      <c r="M49" s="6">
        <v>3</v>
      </c>
      <c r="N49" s="6" t="s">
        <v>76</v>
      </c>
      <c r="O49" s="6" t="s">
        <v>9</v>
      </c>
      <c r="P49" s="6"/>
    </row>
    <row r="50" spans="1:16" ht="14" customHeight="1">
      <c r="A50" s="5" t="s">
        <v>202</v>
      </c>
      <c r="B50" s="5" t="s">
        <v>9</v>
      </c>
      <c r="C50" s="5"/>
      <c r="D50" s="5" t="s">
        <v>115</v>
      </c>
      <c r="E50" s="5" t="s">
        <v>203</v>
      </c>
      <c r="F50" s="5" t="s">
        <v>201</v>
      </c>
      <c r="G50" s="9">
        <v>8</v>
      </c>
      <c r="H50" s="9">
        <v>735</v>
      </c>
      <c r="I50" s="10">
        <v>5880</v>
      </c>
      <c r="J50" s="7">
        <f t="shared" si="2"/>
        <v>5880</v>
      </c>
      <c r="K50" s="7">
        <f t="shared" si="3"/>
        <v>0</v>
      </c>
      <c r="L50" s="5"/>
      <c r="M50" s="5">
        <v>3</v>
      </c>
      <c r="N50" s="5" t="s">
        <v>76</v>
      </c>
      <c r="O50" s="5" t="s">
        <v>9</v>
      </c>
      <c r="P50" s="5"/>
    </row>
    <row r="51" spans="1:16" ht="14" customHeight="1">
      <c r="A51" s="6" t="s">
        <v>204</v>
      </c>
      <c r="B51" s="6" t="s">
        <v>9</v>
      </c>
      <c r="C51" s="6"/>
      <c r="D51" s="6" t="s">
        <v>118</v>
      </c>
      <c r="E51" s="6" t="s">
        <v>205</v>
      </c>
      <c r="F51" s="6" t="s">
        <v>201</v>
      </c>
      <c r="G51" s="11">
        <v>5980</v>
      </c>
      <c r="H51" s="11">
        <v>65</v>
      </c>
      <c r="I51" s="12">
        <v>388700</v>
      </c>
      <c r="J51" s="8">
        <f t="shared" si="2"/>
        <v>388700</v>
      </c>
      <c r="K51" s="8">
        <f t="shared" si="3"/>
        <v>0</v>
      </c>
      <c r="L51" s="6"/>
      <c r="M51" s="6">
        <v>3</v>
      </c>
      <c r="N51" s="6" t="s">
        <v>76</v>
      </c>
      <c r="O51" s="6" t="s">
        <v>9</v>
      </c>
      <c r="P51" s="6"/>
    </row>
    <row r="52" spans="1:16" ht="14" customHeight="1">
      <c r="A52" s="5" t="s">
        <v>206</v>
      </c>
      <c r="B52" s="5" t="s">
        <v>9</v>
      </c>
      <c r="C52" s="5"/>
      <c r="D52" s="5" t="s">
        <v>121</v>
      </c>
      <c r="E52" s="5" t="s">
        <v>207</v>
      </c>
      <c r="F52" s="5" t="s">
        <v>208</v>
      </c>
      <c r="G52" s="9">
        <v>526</v>
      </c>
      <c r="H52" s="9">
        <v>2620</v>
      </c>
      <c r="I52" s="10">
        <v>1378120</v>
      </c>
      <c r="J52" s="7">
        <f t="shared" si="2"/>
        <v>1378120</v>
      </c>
      <c r="K52" s="7">
        <f t="shared" si="3"/>
        <v>0</v>
      </c>
      <c r="L52" s="5" t="s">
        <v>209</v>
      </c>
      <c r="M52" s="5">
        <v>3</v>
      </c>
      <c r="N52" s="5" t="s">
        <v>76</v>
      </c>
      <c r="O52" s="5" t="s">
        <v>9</v>
      </c>
      <c r="P52" s="5"/>
    </row>
    <row r="53" spans="1:16" ht="14" customHeight="1">
      <c r="A53" s="6" t="s">
        <v>210</v>
      </c>
      <c r="B53" s="6" t="s">
        <v>9</v>
      </c>
      <c r="C53" s="6"/>
      <c r="D53" s="6" t="s">
        <v>124</v>
      </c>
      <c r="E53" s="6" t="s">
        <v>211</v>
      </c>
      <c r="F53" s="6" t="s">
        <v>208</v>
      </c>
      <c r="G53" s="11">
        <v>647</v>
      </c>
      <c r="H53" s="11">
        <v>2400</v>
      </c>
      <c r="I53" s="12">
        <v>1552800</v>
      </c>
      <c r="J53" s="8">
        <f t="shared" si="2"/>
        <v>1552800</v>
      </c>
      <c r="K53" s="8">
        <f t="shared" si="3"/>
        <v>0</v>
      </c>
      <c r="L53" s="6" t="s">
        <v>209</v>
      </c>
      <c r="M53" s="6">
        <v>3</v>
      </c>
      <c r="N53" s="6" t="s">
        <v>76</v>
      </c>
      <c r="O53" s="6" t="s">
        <v>9</v>
      </c>
      <c r="P53" s="6"/>
    </row>
    <row r="54" spans="1:16" ht="14" customHeight="1">
      <c r="A54" s="5" t="s">
        <v>212</v>
      </c>
      <c r="B54" s="5" t="s">
        <v>9</v>
      </c>
      <c r="C54" s="5"/>
      <c r="D54" s="5" t="s">
        <v>128</v>
      </c>
      <c r="E54" s="5" t="s">
        <v>213</v>
      </c>
      <c r="F54" s="5" t="s">
        <v>201</v>
      </c>
      <c r="G54" s="9">
        <v>21595</v>
      </c>
      <c r="H54" s="9">
        <v>55</v>
      </c>
      <c r="I54" s="10">
        <v>1187725</v>
      </c>
      <c r="J54" s="7">
        <f t="shared" si="2"/>
        <v>1187725</v>
      </c>
      <c r="K54" s="7">
        <f t="shared" si="3"/>
        <v>0</v>
      </c>
      <c r="L54" s="5"/>
      <c r="M54" s="5">
        <v>3</v>
      </c>
      <c r="N54" s="5" t="s">
        <v>76</v>
      </c>
      <c r="O54" s="5" t="s">
        <v>9</v>
      </c>
      <c r="P54" s="5"/>
    </row>
    <row r="55" spans="1:16" ht="14" customHeight="1">
      <c r="A55" s="6" t="s">
        <v>214</v>
      </c>
      <c r="B55" s="6" t="s">
        <v>9</v>
      </c>
      <c r="C55" s="6"/>
      <c r="D55" s="6" t="s">
        <v>132</v>
      </c>
      <c r="E55" s="6" t="s">
        <v>215</v>
      </c>
      <c r="F55" s="6" t="s">
        <v>176</v>
      </c>
      <c r="G55" s="11">
        <v>493894</v>
      </c>
      <c r="H55" s="11">
        <v>0.6</v>
      </c>
      <c r="I55" s="12">
        <v>296336</v>
      </c>
      <c r="J55" s="8">
        <f t="shared" si="2"/>
        <v>296336</v>
      </c>
      <c r="K55" s="8">
        <f t="shared" si="3"/>
        <v>0</v>
      </c>
      <c r="L55" s="6"/>
      <c r="M55" s="6">
        <v>3</v>
      </c>
      <c r="N55" s="6" t="s">
        <v>76</v>
      </c>
      <c r="O55" s="6" t="s">
        <v>9</v>
      </c>
      <c r="P55" s="6"/>
    </row>
    <row r="56" spans="1:16" ht="14" customHeight="1">
      <c r="A56" s="5" t="s">
        <v>216</v>
      </c>
      <c r="B56" s="5" t="s">
        <v>9</v>
      </c>
      <c r="C56" s="5"/>
      <c r="D56" s="5" t="s">
        <v>136</v>
      </c>
      <c r="E56" s="5" t="s">
        <v>217</v>
      </c>
      <c r="F56" s="5" t="s">
        <v>149</v>
      </c>
      <c r="G56" s="9">
        <v>4023</v>
      </c>
      <c r="H56" s="9">
        <v>120</v>
      </c>
      <c r="I56" s="10">
        <v>482760</v>
      </c>
      <c r="J56" s="7">
        <f t="shared" si="2"/>
        <v>482760</v>
      </c>
      <c r="K56" s="7">
        <f t="shared" si="3"/>
        <v>0</v>
      </c>
      <c r="L56" s="5"/>
      <c r="M56" s="5">
        <v>3</v>
      </c>
      <c r="N56" s="5" t="s">
        <v>76</v>
      </c>
      <c r="O56" s="5" t="s">
        <v>9</v>
      </c>
      <c r="P56" s="5"/>
    </row>
    <row r="57" spans="1:16" ht="14" customHeight="1">
      <c r="A57" s="6" t="s">
        <v>218</v>
      </c>
      <c r="B57" s="6" t="s">
        <v>9</v>
      </c>
      <c r="C57" s="6"/>
      <c r="D57" s="6" t="s">
        <v>139</v>
      </c>
      <c r="E57" s="6" t="s">
        <v>219</v>
      </c>
      <c r="F57" s="6" t="s">
        <v>149</v>
      </c>
      <c r="G57" s="11">
        <v>11532</v>
      </c>
      <c r="H57" s="11">
        <v>450</v>
      </c>
      <c r="I57" s="12">
        <v>5189400</v>
      </c>
      <c r="J57" s="8">
        <f t="shared" si="2"/>
        <v>5189400</v>
      </c>
      <c r="K57" s="8">
        <f t="shared" si="3"/>
        <v>0</v>
      </c>
      <c r="L57" s="6"/>
      <c r="M57" s="6">
        <v>3</v>
      </c>
      <c r="N57" s="6" t="s">
        <v>76</v>
      </c>
      <c r="O57" s="6" t="s">
        <v>9</v>
      </c>
      <c r="P57" s="6"/>
    </row>
    <row r="58" spans="1:16" ht="14" customHeight="1">
      <c r="A58" s="5" t="s">
        <v>220</v>
      </c>
      <c r="B58" s="5" t="s">
        <v>9</v>
      </c>
      <c r="C58" s="5"/>
      <c r="D58" s="5" t="s">
        <v>142</v>
      </c>
      <c r="E58" s="5" t="s">
        <v>221</v>
      </c>
      <c r="F58" s="5" t="s">
        <v>222</v>
      </c>
      <c r="G58" s="9">
        <v>318</v>
      </c>
      <c r="H58" s="9">
        <v>2100</v>
      </c>
      <c r="I58" s="10">
        <v>667800</v>
      </c>
      <c r="J58" s="7">
        <f t="shared" si="2"/>
        <v>667800</v>
      </c>
      <c r="K58" s="7">
        <f t="shared" si="3"/>
        <v>0</v>
      </c>
      <c r="L58" s="5"/>
      <c r="M58" s="5">
        <v>3</v>
      </c>
      <c r="N58" s="5" t="s">
        <v>76</v>
      </c>
      <c r="O58" s="5" t="s">
        <v>9</v>
      </c>
      <c r="P58" s="5"/>
    </row>
    <row r="59" spans="1:16" ht="14" customHeight="1">
      <c r="A59" s="6" t="s">
        <v>223</v>
      </c>
      <c r="B59" s="6" t="s">
        <v>9</v>
      </c>
      <c r="C59" s="6"/>
      <c r="D59" s="6" t="s">
        <v>145</v>
      </c>
      <c r="E59" s="6" t="s">
        <v>224</v>
      </c>
      <c r="F59" s="6" t="s">
        <v>75</v>
      </c>
      <c r="G59" s="11">
        <v>1</v>
      </c>
      <c r="H59" s="11">
        <v>350000</v>
      </c>
      <c r="I59" s="12">
        <v>350000</v>
      </c>
      <c r="J59" s="8">
        <f t="shared" si="2"/>
        <v>350000</v>
      </c>
      <c r="K59" s="8">
        <f t="shared" si="3"/>
        <v>0</v>
      </c>
      <c r="L59" s="6"/>
      <c r="M59" s="6">
        <v>3</v>
      </c>
      <c r="N59" s="6" t="s">
        <v>76</v>
      </c>
      <c r="O59" s="6" t="s">
        <v>9</v>
      </c>
      <c r="P59" s="6"/>
    </row>
    <row r="60" spans="1:16" ht="14" customHeight="1">
      <c r="A60" s="5" t="s">
        <v>225</v>
      </c>
      <c r="B60" s="5" t="s">
        <v>9</v>
      </c>
      <c r="C60" s="5"/>
      <c r="D60" s="5" t="s">
        <v>226</v>
      </c>
      <c r="E60" s="5" t="s">
        <v>227</v>
      </c>
      <c r="F60" s="5" t="s">
        <v>149</v>
      </c>
      <c r="G60" s="9">
        <v>4023</v>
      </c>
      <c r="H60" s="9">
        <v>500</v>
      </c>
      <c r="I60" s="10">
        <v>2011500</v>
      </c>
      <c r="J60" s="7">
        <f t="shared" si="2"/>
        <v>2011500</v>
      </c>
      <c r="K60" s="7">
        <f t="shared" si="3"/>
        <v>0</v>
      </c>
      <c r="L60" s="5"/>
      <c r="M60" s="5">
        <v>3</v>
      </c>
      <c r="N60" s="5" t="s">
        <v>76</v>
      </c>
      <c r="O60" s="5" t="s">
        <v>9</v>
      </c>
      <c r="P60" s="5"/>
    </row>
    <row r="61" spans="1:16" ht="14" customHeight="1">
      <c r="A61" s="6" t="s">
        <v>228</v>
      </c>
      <c r="B61" s="6" t="s">
        <v>9</v>
      </c>
      <c r="C61" s="6"/>
      <c r="D61" s="6" t="s">
        <v>229</v>
      </c>
      <c r="E61" s="6" t="s">
        <v>230</v>
      </c>
      <c r="F61" s="6" t="s">
        <v>80</v>
      </c>
      <c r="G61" s="11">
        <v>259</v>
      </c>
      <c r="H61" s="11">
        <v>350</v>
      </c>
      <c r="I61" s="12">
        <v>90650</v>
      </c>
      <c r="J61" s="8">
        <f t="shared" si="2"/>
        <v>90650</v>
      </c>
      <c r="K61" s="8">
        <f t="shared" si="3"/>
        <v>0</v>
      </c>
      <c r="L61" s="6"/>
      <c r="M61" s="6">
        <v>3</v>
      </c>
      <c r="N61" s="6" t="s">
        <v>76</v>
      </c>
      <c r="O61" s="6" t="s">
        <v>9</v>
      </c>
      <c r="P61" s="6"/>
    </row>
    <row r="62" spans="1:16" ht="14" customHeight="1">
      <c r="A62" s="5" t="s">
        <v>231</v>
      </c>
      <c r="B62" s="5" t="s">
        <v>9</v>
      </c>
      <c r="C62" s="5"/>
      <c r="D62" s="5" t="s">
        <v>232</v>
      </c>
      <c r="E62" s="5" t="s">
        <v>233</v>
      </c>
      <c r="F62" s="5" t="s">
        <v>80</v>
      </c>
      <c r="G62" s="9">
        <v>525</v>
      </c>
      <c r="H62" s="9">
        <v>310</v>
      </c>
      <c r="I62" s="10">
        <v>162750</v>
      </c>
      <c r="J62" s="7">
        <f t="shared" si="2"/>
        <v>162750</v>
      </c>
      <c r="K62" s="7">
        <f t="shared" si="3"/>
        <v>0</v>
      </c>
      <c r="L62" s="5"/>
      <c r="M62" s="5">
        <v>3</v>
      </c>
      <c r="N62" s="5" t="s">
        <v>76</v>
      </c>
      <c r="O62" s="5" t="s">
        <v>9</v>
      </c>
      <c r="P62" s="5"/>
    </row>
    <row r="63" spans="1:16" ht="14" customHeight="1">
      <c r="A63" s="6" t="s">
        <v>234</v>
      </c>
      <c r="B63" s="6" t="s">
        <v>9</v>
      </c>
      <c r="C63" s="6"/>
      <c r="D63" s="6" t="s">
        <v>235</v>
      </c>
      <c r="E63" s="6" t="s">
        <v>236</v>
      </c>
      <c r="F63" s="6" t="s">
        <v>237</v>
      </c>
      <c r="G63" s="11">
        <v>34</v>
      </c>
      <c r="H63" s="11">
        <v>2000</v>
      </c>
      <c r="I63" s="12">
        <v>68000</v>
      </c>
      <c r="J63" s="8">
        <f t="shared" si="2"/>
        <v>68000</v>
      </c>
      <c r="K63" s="8">
        <f t="shared" si="3"/>
        <v>0</v>
      </c>
      <c r="L63" s="6"/>
      <c r="M63" s="6">
        <v>3</v>
      </c>
      <c r="N63" s="6" t="s">
        <v>76</v>
      </c>
      <c r="O63" s="6" t="s">
        <v>9</v>
      </c>
      <c r="P63" s="6"/>
    </row>
    <row r="64" spans="1:16" ht="14" customHeight="1">
      <c r="A64" s="5" t="s">
        <v>238</v>
      </c>
      <c r="B64" s="5" t="s">
        <v>9</v>
      </c>
      <c r="C64" s="5"/>
      <c r="D64" s="5" t="s">
        <v>239</v>
      </c>
      <c r="E64" s="5" t="s">
        <v>240</v>
      </c>
      <c r="F64" s="5" t="s">
        <v>237</v>
      </c>
      <c r="G64" s="9">
        <v>34</v>
      </c>
      <c r="H64" s="9">
        <v>2500</v>
      </c>
      <c r="I64" s="10">
        <v>85000</v>
      </c>
      <c r="J64" s="7">
        <f t="shared" si="2"/>
        <v>85000</v>
      </c>
      <c r="K64" s="7">
        <f t="shared" si="3"/>
        <v>0</v>
      </c>
      <c r="L64" s="5"/>
      <c r="M64" s="5">
        <v>3</v>
      </c>
      <c r="N64" s="5" t="s">
        <v>76</v>
      </c>
      <c r="O64" s="5" t="s">
        <v>9</v>
      </c>
      <c r="P64" s="5"/>
    </row>
    <row r="65" spans="1:16" ht="14" customHeight="1">
      <c r="A65" s="6" t="s">
        <v>241</v>
      </c>
      <c r="B65" s="6" t="s">
        <v>9</v>
      </c>
      <c r="C65" s="6"/>
      <c r="D65" s="6" t="s">
        <v>242</v>
      </c>
      <c r="E65" s="6" t="s">
        <v>243</v>
      </c>
      <c r="F65" s="6" t="s">
        <v>80</v>
      </c>
      <c r="G65" s="11">
        <v>116</v>
      </c>
      <c r="H65" s="11">
        <v>3800</v>
      </c>
      <c r="I65" s="12">
        <v>440800</v>
      </c>
      <c r="J65" s="8">
        <f t="shared" si="2"/>
        <v>440800</v>
      </c>
      <c r="K65" s="8">
        <f t="shared" si="3"/>
        <v>0</v>
      </c>
      <c r="L65" s="6"/>
      <c r="M65" s="6">
        <v>3</v>
      </c>
      <c r="N65" s="6" t="s">
        <v>76</v>
      </c>
      <c r="O65" s="6" t="s">
        <v>9</v>
      </c>
      <c r="P65" s="6"/>
    </row>
    <row r="66" spans="1:16" ht="14" customHeight="1">
      <c r="A66" s="5" t="s">
        <v>244</v>
      </c>
      <c r="B66" s="5" t="s">
        <v>10</v>
      </c>
      <c r="C66" s="5" t="s">
        <v>41</v>
      </c>
      <c r="D66" s="5" t="s">
        <v>73</v>
      </c>
      <c r="E66" s="5" t="s">
        <v>245</v>
      </c>
      <c r="F66" s="5" t="s">
        <v>149</v>
      </c>
      <c r="G66" s="9">
        <v>341.03</v>
      </c>
      <c r="H66" s="9">
        <v>450</v>
      </c>
      <c r="I66" s="10">
        <v>153464</v>
      </c>
      <c r="J66" s="7">
        <f t="shared" si="2"/>
        <v>153464</v>
      </c>
      <c r="K66" s="7">
        <f t="shared" si="3"/>
        <v>0</v>
      </c>
      <c r="L66" s="5" t="s">
        <v>246</v>
      </c>
      <c r="M66" s="5">
        <v>4</v>
      </c>
      <c r="N66" s="5" t="s">
        <v>76</v>
      </c>
      <c r="O66" s="5" t="s">
        <v>247</v>
      </c>
      <c r="P66" s="5"/>
    </row>
    <row r="67" spans="1:16" ht="14" customHeight="1">
      <c r="A67" s="6" t="s">
        <v>248</v>
      </c>
      <c r="B67" s="6" t="s">
        <v>10</v>
      </c>
      <c r="C67" s="6" t="s">
        <v>41</v>
      </c>
      <c r="D67" s="6" t="s">
        <v>78</v>
      </c>
      <c r="E67" s="6" t="s">
        <v>249</v>
      </c>
      <c r="F67" s="6" t="s">
        <v>149</v>
      </c>
      <c r="G67" s="11">
        <v>33.86</v>
      </c>
      <c r="H67" s="11">
        <v>450</v>
      </c>
      <c r="I67" s="12">
        <v>15237</v>
      </c>
      <c r="J67" s="8">
        <f t="shared" si="2"/>
        <v>15237</v>
      </c>
      <c r="K67" s="8">
        <f t="shared" si="3"/>
        <v>0</v>
      </c>
      <c r="L67" s="6"/>
      <c r="M67" s="6">
        <v>4</v>
      </c>
      <c r="N67" s="6" t="s">
        <v>76</v>
      </c>
      <c r="O67" s="6" t="s">
        <v>247</v>
      </c>
      <c r="P67" s="6"/>
    </row>
    <row r="68" spans="1:16" ht="14" customHeight="1">
      <c r="A68" s="5" t="s">
        <v>250</v>
      </c>
      <c r="B68" s="5" t="s">
        <v>10</v>
      </c>
      <c r="C68" s="5" t="s">
        <v>41</v>
      </c>
      <c r="D68" s="5" t="s">
        <v>82</v>
      </c>
      <c r="E68" s="5" t="s">
        <v>251</v>
      </c>
      <c r="F68" s="5" t="s">
        <v>149</v>
      </c>
      <c r="G68" s="9">
        <v>4115.3</v>
      </c>
      <c r="H68" s="9">
        <v>450</v>
      </c>
      <c r="I68" s="10">
        <v>1851885</v>
      </c>
      <c r="J68" s="7">
        <f t="shared" si="2"/>
        <v>1851885</v>
      </c>
      <c r="K68" s="7">
        <f t="shared" si="3"/>
        <v>0</v>
      </c>
      <c r="L68" s="5"/>
      <c r="M68" s="5">
        <v>4</v>
      </c>
      <c r="N68" s="5" t="s">
        <v>76</v>
      </c>
      <c r="O68" s="5" t="s">
        <v>247</v>
      </c>
      <c r="P68" s="5"/>
    </row>
    <row r="69" spans="1:16" ht="14" customHeight="1">
      <c r="A69" s="6" t="s">
        <v>252</v>
      </c>
      <c r="B69" s="6" t="s">
        <v>10</v>
      </c>
      <c r="C69" s="6" t="s">
        <v>41</v>
      </c>
      <c r="D69" s="6" t="s">
        <v>86</v>
      </c>
      <c r="E69" s="6" t="s">
        <v>253</v>
      </c>
      <c r="F69" s="6" t="s">
        <v>80</v>
      </c>
      <c r="G69" s="11">
        <v>1348</v>
      </c>
      <c r="H69" s="11">
        <v>300</v>
      </c>
      <c r="I69" s="12">
        <v>337000</v>
      </c>
      <c r="J69" s="8">
        <f t="shared" si="2"/>
        <v>404400</v>
      </c>
      <c r="K69" s="8">
        <f t="shared" si="3"/>
        <v>-67400</v>
      </c>
      <c r="L69" s="6"/>
      <c r="M69" s="6">
        <v>4</v>
      </c>
      <c r="N69" s="6" t="s">
        <v>76</v>
      </c>
      <c r="O69" s="6" t="s">
        <v>247</v>
      </c>
      <c r="P69" s="6" t="s">
        <v>254</v>
      </c>
    </row>
    <row r="70" spans="1:16" ht="14" customHeight="1">
      <c r="A70" s="5" t="s">
        <v>255</v>
      </c>
      <c r="B70" s="5" t="s">
        <v>10</v>
      </c>
      <c r="C70" s="5" t="s">
        <v>41</v>
      </c>
      <c r="D70" s="5" t="s">
        <v>89</v>
      </c>
      <c r="E70" s="5" t="s">
        <v>256</v>
      </c>
      <c r="F70" s="5" t="s">
        <v>80</v>
      </c>
      <c r="G70" s="9">
        <v>1341</v>
      </c>
      <c r="H70" s="9">
        <v>300</v>
      </c>
      <c r="I70" s="10">
        <v>335250</v>
      </c>
      <c r="J70" s="7">
        <f t="shared" ref="J70:J101" si="4">IF(OR(G70="",H70=""),"",ROUND(G70*H70,0))</f>
        <v>402300</v>
      </c>
      <c r="K70" s="7">
        <f t="shared" ref="K70:K101" si="5">IF(OR(I70="",J70=""),"",I70-J70)</f>
        <v>-67050</v>
      </c>
      <c r="L70" s="5"/>
      <c r="M70" s="5">
        <v>4</v>
      </c>
      <c r="N70" s="5" t="s">
        <v>76</v>
      </c>
      <c r="O70" s="5" t="s">
        <v>247</v>
      </c>
      <c r="P70" s="5" t="s">
        <v>257</v>
      </c>
    </row>
    <row r="71" spans="1:16" ht="14" customHeight="1">
      <c r="A71" s="6" t="s">
        <v>258</v>
      </c>
      <c r="B71" s="6" t="s">
        <v>10</v>
      </c>
      <c r="C71" s="6" t="s">
        <v>41</v>
      </c>
      <c r="D71" s="6" t="s">
        <v>92</v>
      </c>
      <c r="E71" s="6" t="s">
        <v>259</v>
      </c>
      <c r="F71" s="6" t="s">
        <v>149</v>
      </c>
      <c r="G71" s="11">
        <v>1457.26</v>
      </c>
      <c r="H71" s="11">
        <v>750</v>
      </c>
      <c r="I71" s="12">
        <v>1092945</v>
      </c>
      <c r="J71" s="8">
        <f t="shared" si="4"/>
        <v>1092945</v>
      </c>
      <c r="K71" s="8">
        <f t="shared" si="5"/>
        <v>0</v>
      </c>
      <c r="L71" s="6"/>
      <c r="M71" s="6">
        <v>4</v>
      </c>
      <c r="N71" s="6" t="s">
        <v>76</v>
      </c>
      <c r="O71" s="6" t="s">
        <v>247</v>
      </c>
      <c r="P71" s="6"/>
    </row>
    <row r="72" spans="1:16" ht="14" customHeight="1">
      <c r="A72" s="5" t="s">
        <v>260</v>
      </c>
      <c r="B72" s="5" t="s">
        <v>10</v>
      </c>
      <c r="C72" s="5" t="s">
        <v>41</v>
      </c>
      <c r="D72" s="5" t="s">
        <v>97</v>
      </c>
      <c r="E72" s="5" t="s">
        <v>261</v>
      </c>
      <c r="F72" s="5" t="s">
        <v>149</v>
      </c>
      <c r="G72" s="9">
        <v>42.5</v>
      </c>
      <c r="H72" s="9">
        <v>650</v>
      </c>
      <c r="I72" s="10">
        <v>27625</v>
      </c>
      <c r="J72" s="7">
        <f t="shared" si="4"/>
        <v>27625</v>
      </c>
      <c r="K72" s="7">
        <f t="shared" si="5"/>
        <v>0</v>
      </c>
      <c r="L72" s="5"/>
      <c r="M72" s="5">
        <v>4</v>
      </c>
      <c r="N72" s="5" t="s">
        <v>76</v>
      </c>
      <c r="O72" s="5" t="s">
        <v>247</v>
      </c>
      <c r="P72" s="5"/>
    </row>
    <row r="73" spans="1:16" ht="14" customHeight="1">
      <c r="A73" s="6" t="s">
        <v>262</v>
      </c>
      <c r="B73" s="6" t="s">
        <v>10</v>
      </c>
      <c r="C73" s="6" t="s">
        <v>41</v>
      </c>
      <c r="D73" s="6" t="s">
        <v>102</v>
      </c>
      <c r="E73" s="6" t="s">
        <v>263</v>
      </c>
      <c r="F73" s="6" t="s">
        <v>149</v>
      </c>
      <c r="G73" s="11">
        <v>27.03</v>
      </c>
      <c r="H73" s="11">
        <v>650</v>
      </c>
      <c r="I73" s="12">
        <v>17570</v>
      </c>
      <c r="J73" s="8">
        <f t="shared" si="4"/>
        <v>17570</v>
      </c>
      <c r="K73" s="8">
        <f t="shared" si="5"/>
        <v>0</v>
      </c>
      <c r="L73" s="6"/>
      <c r="M73" s="6">
        <v>4</v>
      </c>
      <c r="N73" s="6" t="s">
        <v>76</v>
      </c>
      <c r="O73" s="6" t="s">
        <v>247</v>
      </c>
      <c r="P73" s="6"/>
    </row>
    <row r="74" spans="1:16" ht="14" customHeight="1">
      <c r="A74" s="5" t="s">
        <v>264</v>
      </c>
      <c r="B74" s="5" t="s">
        <v>10</v>
      </c>
      <c r="C74" s="5" t="s">
        <v>43</v>
      </c>
      <c r="D74" s="5" t="s">
        <v>73</v>
      </c>
      <c r="E74" s="5" t="s">
        <v>265</v>
      </c>
      <c r="F74" s="5" t="s">
        <v>149</v>
      </c>
      <c r="G74" s="9">
        <v>75.84</v>
      </c>
      <c r="H74" s="9">
        <v>7000</v>
      </c>
      <c r="I74" s="10">
        <v>530880</v>
      </c>
      <c r="J74" s="7">
        <f t="shared" si="4"/>
        <v>530880</v>
      </c>
      <c r="K74" s="7">
        <f t="shared" si="5"/>
        <v>0</v>
      </c>
      <c r="L74" s="5"/>
      <c r="M74" s="5">
        <v>4</v>
      </c>
      <c r="N74" s="5" t="s">
        <v>76</v>
      </c>
      <c r="O74" s="5" t="s">
        <v>247</v>
      </c>
      <c r="P74" s="5"/>
    </row>
    <row r="75" spans="1:16" ht="14" customHeight="1">
      <c r="A75" s="6" t="s">
        <v>266</v>
      </c>
      <c r="B75" s="6" t="s">
        <v>10</v>
      </c>
      <c r="C75" s="6" t="s">
        <v>43</v>
      </c>
      <c r="D75" s="6" t="s">
        <v>78</v>
      </c>
      <c r="E75" s="6" t="s">
        <v>267</v>
      </c>
      <c r="F75" s="6" t="s">
        <v>149</v>
      </c>
      <c r="G75" s="11">
        <v>138</v>
      </c>
      <c r="H75" s="11">
        <v>3500</v>
      </c>
      <c r="I75" s="12">
        <v>483000</v>
      </c>
      <c r="J75" s="8">
        <f t="shared" si="4"/>
        <v>483000</v>
      </c>
      <c r="K75" s="8">
        <f t="shared" si="5"/>
        <v>0</v>
      </c>
      <c r="L75" s="6"/>
      <c r="M75" s="6">
        <v>4</v>
      </c>
      <c r="N75" s="6" t="s">
        <v>76</v>
      </c>
      <c r="O75" s="6" t="s">
        <v>247</v>
      </c>
      <c r="P75" s="6"/>
    </row>
    <row r="76" spans="1:16" ht="14" customHeight="1">
      <c r="A76" s="5" t="s">
        <v>268</v>
      </c>
      <c r="B76" s="5" t="s">
        <v>10</v>
      </c>
      <c r="C76" s="5" t="s">
        <v>43</v>
      </c>
      <c r="D76" s="5" t="s">
        <v>82</v>
      </c>
      <c r="E76" s="5" t="s">
        <v>269</v>
      </c>
      <c r="F76" s="5" t="s">
        <v>149</v>
      </c>
      <c r="G76" s="9">
        <v>158.68</v>
      </c>
      <c r="H76" s="9">
        <v>1750</v>
      </c>
      <c r="I76" s="10">
        <v>277690</v>
      </c>
      <c r="J76" s="7">
        <f t="shared" si="4"/>
        <v>277690</v>
      </c>
      <c r="K76" s="7">
        <f t="shared" si="5"/>
        <v>0</v>
      </c>
      <c r="L76" s="5"/>
      <c r="M76" s="5">
        <v>4</v>
      </c>
      <c r="N76" s="5" t="s">
        <v>76</v>
      </c>
      <c r="O76" s="5" t="s">
        <v>247</v>
      </c>
      <c r="P76" s="5"/>
    </row>
    <row r="77" spans="1:16" ht="14" customHeight="1">
      <c r="A77" s="6" t="s">
        <v>270</v>
      </c>
      <c r="B77" s="6" t="s">
        <v>10</v>
      </c>
      <c r="C77" s="6" t="s">
        <v>43</v>
      </c>
      <c r="D77" s="6" t="s">
        <v>86</v>
      </c>
      <c r="E77" s="6" t="s">
        <v>271</v>
      </c>
      <c r="F77" s="6" t="s">
        <v>149</v>
      </c>
      <c r="G77" s="11">
        <v>527.53</v>
      </c>
      <c r="H77" s="11">
        <v>2400</v>
      </c>
      <c r="I77" s="12">
        <v>1266072</v>
      </c>
      <c r="J77" s="8">
        <f t="shared" si="4"/>
        <v>1266072</v>
      </c>
      <c r="K77" s="8">
        <f t="shared" si="5"/>
        <v>0</v>
      </c>
      <c r="L77" s="6"/>
      <c r="M77" s="6">
        <v>4</v>
      </c>
      <c r="N77" s="6" t="s">
        <v>76</v>
      </c>
      <c r="O77" s="6" t="s">
        <v>247</v>
      </c>
      <c r="P77" s="6"/>
    </row>
    <row r="78" spans="1:16" ht="14" customHeight="1">
      <c r="A78" s="5" t="s">
        <v>272</v>
      </c>
      <c r="B78" s="5" t="s">
        <v>10</v>
      </c>
      <c r="C78" s="5" t="s">
        <v>43</v>
      </c>
      <c r="D78" s="5" t="s">
        <v>89</v>
      </c>
      <c r="E78" s="5" t="s">
        <v>273</v>
      </c>
      <c r="F78" s="5" t="s">
        <v>149</v>
      </c>
      <c r="G78" s="9">
        <v>2925</v>
      </c>
      <c r="H78" s="9">
        <v>1200</v>
      </c>
      <c r="I78" s="10">
        <v>3510000</v>
      </c>
      <c r="J78" s="7">
        <f t="shared" si="4"/>
        <v>3510000</v>
      </c>
      <c r="K78" s="7">
        <f t="shared" si="5"/>
        <v>0</v>
      </c>
      <c r="L78" s="5"/>
      <c r="M78" s="5">
        <v>4</v>
      </c>
      <c r="N78" s="5" t="s">
        <v>76</v>
      </c>
      <c r="O78" s="5" t="s">
        <v>247</v>
      </c>
      <c r="P78" s="5"/>
    </row>
    <row r="79" spans="1:16" ht="14" customHeight="1">
      <c r="A79" s="6" t="s">
        <v>274</v>
      </c>
      <c r="B79" s="6" t="s">
        <v>10</v>
      </c>
      <c r="C79" s="6" t="s">
        <v>43</v>
      </c>
      <c r="D79" s="6" t="s">
        <v>92</v>
      </c>
      <c r="E79" s="6" t="s">
        <v>275</v>
      </c>
      <c r="F79" s="6" t="s">
        <v>149</v>
      </c>
      <c r="G79" s="11">
        <v>98</v>
      </c>
      <c r="H79" s="11">
        <v>1500</v>
      </c>
      <c r="I79" s="12">
        <v>147000</v>
      </c>
      <c r="J79" s="8">
        <f t="shared" si="4"/>
        <v>147000</v>
      </c>
      <c r="K79" s="8">
        <f t="shared" si="5"/>
        <v>0</v>
      </c>
      <c r="L79" s="6"/>
      <c r="M79" s="6">
        <v>4</v>
      </c>
      <c r="N79" s="6" t="s">
        <v>76</v>
      </c>
      <c r="O79" s="6" t="s">
        <v>247</v>
      </c>
      <c r="P79" s="6"/>
    </row>
    <row r="80" spans="1:16" ht="14" customHeight="1">
      <c r="A80" s="5" t="s">
        <v>276</v>
      </c>
      <c r="B80" s="5" t="s">
        <v>10</v>
      </c>
      <c r="C80" s="5" t="s">
        <v>43</v>
      </c>
      <c r="D80" s="5" t="s">
        <v>97</v>
      </c>
      <c r="E80" s="5" t="s">
        <v>277</v>
      </c>
      <c r="F80" s="5" t="s">
        <v>278</v>
      </c>
      <c r="G80" s="9">
        <v>6</v>
      </c>
      <c r="H80" s="9">
        <v>65000</v>
      </c>
      <c r="I80" s="10">
        <v>390000</v>
      </c>
      <c r="J80" s="7">
        <f t="shared" si="4"/>
        <v>390000</v>
      </c>
      <c r="K80" s="7">
        <f t="shared" si="5"/>
        <v>0</v>
      </c>
      <c r="L80" s="5"/>
      <c r="M80" s="5">
        <v>4</v>
      </c>
      <c r="N80" s="5" t="s">
        <v>76</v>
      </c>
      <c r="O80" s="5" t="s">
        <v>247</v>
      </c>
      <c r="P80" s="5"/>
    </row>
    <row r="81" spans="1:16" ht="14" customHeight="1">
      <c r="A81" s="6" t="s">
        <v>279</v>
      </c>
      <c r="B81" s="6" t="s">
        <v>10</v>
      </c>
      <c r="C81" s="6" t="s">
        <v>43</v>
      </c>
      <c r="D81" s="6" t="s">
        <v>102</v>
      </c>
      <c r="E81" s="6" t="s">
        <v>280</v>
      </c>
      <c r="F81" s="6" t="s">
        <v>149</v>
      </c>
      <c r="G81" s="11">
        <v>121.09</v>
      </c>
      <c r="H81" s="11">
        <v>1500</v>
      </c>
      <c r="I81" s="12">
        <v>181635</v>
      </c>
      <c r="J81" s="8">
        <f t="shared" si="4"/>
        <v>181635</v>
      </c>
      <c r="K81" s="8">
        <f t="shared" si="5"/>
        <v>0</v>
      </c>
      <c r="L81" s="6"/>
      <c r="M81" s="6">
        <v>4</v>
      </c>
      <c r="N81" s="6" t="s">
        <v>76</v>
      </c>
      <c r="O81" s="6" t="s">
        <v>247</v>
      </c>
      <c r="P81" s="6"/>
    </row>
    <row r="82" spans="1:16" ht="14" customHeight="1">
      <c r="A82" s="5" t="s">
        <v>281</v>
      </c>
      <c r="B82" s="5" t="s">
        <v>10</v>
      </c>
      <c r="C82" s="5" t="s">
        <v>43</v>
      </c>
      <c r="D82" s="5" t="s">
        <v>106</v>
      </c>
      <c r="E82" s="5" t="s">
        <v>282</v>
      </c>
      <c r="F82" s="5" t="s">
        <v>149</v>
      </c>
      <c r="G82" s="9">
        <v>35</v>
      </c>
      <c r="H82" s="9">
        <v>1500</v>
      </c>
      <c r="I82" s="10">
        <v>52500</v>
      </c>
      <c r="J82" s="7">
        <f t="shared" si="4"/>
        <v>52500</v>
      </c>
      <c r="K82" s="7">
        <f t="shared" si="5"/>
        <v>0</v>
      </c>
      <c r="L82" s="5"/>
      <c r="M82" s="5">
        <v>4</v>
      </c>
      <c r="N82" s="5" t="s">
        <v>76</v>
      </c>
      <c r="O82" s="5" t="s">
        <v>247</v>
      </c>
      <c r="P82" s="5"/>
    </row>
    <row r="83" spans="1:16" ht="14" customHeight="1">
      <c r="A83" s="6" t="s">
        <v>283</v>
      </c>
      <c r="B83" s="6" t="s">
        <v>10</v>
      </c>
      <c r="C83" s="6" t="s">
        <v>43</v>
      </c>
      <c r="D83" s="6" t="s">
        <v>109</v>
      </c>
      <c r="E83" s="6" t="s">
        <v>284</v>
      </c>
      <c r="F83" s="6" t="s">
        <v>149</v>
      </c>
      <c r="G83" s="11">
        <v>154.93</v>
      </c>
      <c r="H83" s="11">
        <v>1500</v>
      </c>
      <c r="I83" s="12">
        <v>232395</v>
      </c>
      <c r="J83" s="8">
        <f t="shared" si="4"/>
        <v>232395</v>
      </c>
      <c r="K83" s="8">
        <f t="shared" si="5"/>
        <v>0</v>
      </c>
      <c r="L83" s="6"/>
      <c r="M83" s="6">
        <v>4</v>
      </c>
      <c r="N83" s="6" t="s">
        <v>76</v>
      </c>
      <c r="O83" s="6" t="s">
        <v>247</v>
      </c>
      <c r="P83" s="6"/>
    </row>
    <row r="84" spans="1:16" ht="14" customHeight="1">
      <c r="A84" s="5" t="s">
        <v>285</v>
      </c>
      <c r="B84" s="5" t="s">
        <v>10</v>
      </c>
      <c r="C84" s="5" t="s">
        <v>43</v>
      </c>
      <c r="D84" s="5" t="s">
        <v>112</v>
      </c>
      <c r="E84" s="5" t="s">
        <v>286</v>
      </c>
      <c r="F84" s="5" t="s">
        <v>149</v>
      </c>
      <c r="G84" s="9">
        <v>400.19</v>
      </c>
      <c r="H84" s="9">
        <v>1500</v>
      </c>
      <c r="I84" s="10">
        <v>600285</v>
      </c>
      <c r="J84" s="7">
        <f t="shared" si="4"/>
        <v>600285</v>
      </c>
      <c r="K84" s="7">
        <f t="shared" si="5"/>
        <v>0</v>
      </c>
      <c r="L84" s="5"/>
      <c r="M84" s="5">
        <v>4</v>
      </c>
      <c r="N84" s="5" t="s">
        <v>76</v>
      </c>
      <c r="O84" s="5" t="s">
        <v>247</v>
      </c>
      <c r="P84" s="5"/>
    </row>
    <row r="85" spans="1:16" ht="14" customHeight="1">
      <c r="A85" s="6" t="s">
        <v>287</v>
      </c>
      <c r="B85" s="6" t="s">
        <v>10</v>
      </c>
      <c r="C85" s="6" t="s">
        <v>43</v>
      </c>
      <c r="D85" s="6" t="s">
        <v>115</v>
      </c>
      <c r="E85" s="6" t="s">
        <v>288</v>
      </c>
      <c r="F85" s="6" t="s">
        <v>149</v>
      </c>
      <c r="G85" s="11">
        <v>1701</v>
      </c>
      <c r="H85" s="11">
        <v>3250</v>
      </c>
      <c r="I85" s="12">
        <v>5528250</v>
      </c>
      <c r="J85" s="8">
        <f t="shared" si="4"/>
        <v>5528250</v>
      </c>
      <c r="K85" s="8">
        <f t="shared" si="5"/>
        <v>0</v>
      </c>
      <c r="L85" s="6"/>
      <c r="M85" s="6">
        <v>4</v>
      </c>
      <c r="N85" s="6" t="s">
        <v>76</v>
      </c>
      <c r="O85" s="6" t="s">
        <v>247</v>
      </c>
      <c r="P85" s="6"/>
    </row>
    <row r="86" spans="1:16" ht="14" customHeight="1">
      <c r="A86" s="5" t="s">
        <v>289</v>
      </c>
      <c r="B86" s="5" t="s">
        <v>10</v>
      </c>
      <c r="C86" s="5" t="s">
        <v>43</v>
      </c>
      <c r="D86" s="5" t="s">
        <v>118</v>
      </c>
      <c r="E86" s="5" t="s">
        <v>290</v>
      </c>
      <c r="F86" s="5" t="s">
        <v>149</v>
      </c>
      <c r="G86" s="9">
        <v>95</v>
      </c>
      <c r="H86" s="9">
        <v>1750</v>
      </c>
      <c r="I86" s="10">
        <v>166250</v>
      </c>
      <c r="J86" s="7">
        <f t="shared" si="4"/>
        <v>166250</v>
      </c>
      <c r="K86" s="7">
        <f t="shared" si="5"/>
        <v>0</v>
      </c>
      <c r="L86" s="5"/>
      <c r="M86" s="5">
        <v>4</v>
      </c>
      <c r="N86" s="5" t="s">
        <v>76</v>
      </c>
      <c r="O86" s="5" t="s">
        <v>247</v>
      </c>
      <c r="P86" s="5"/>
    </row>
    <row r="87" spans="1:16" ht="14" customHeight="1">
      <c r="A87" s="6" t="s">
        <v>291</v>
      </c>
      <c r="B87" s="6" t="s">
        <v>10</v>
      </c>
      <c r="C87" s="6" t="s">
        <v>43</v>
      </c>
      <c r="D87" s="6" t="s">
        <v>121</v>
      </c>
      <c r="E87" s="6" t="s">
        <v>292</v>
      </c>
      <c r="F87" s="6" t="s">
        <v>149</v>
      </c>
      <c r="G87" s="11">
        <v>55</v>
      </c>
      <c r="H87" s="11">
        <v>7000</v>
      </c>
      <c r="I87" s="12">
        <v>385000</v>
      </c>
      <c r="J87" s="8">
        <f t="shared" si="4"/>
        <v>385000</v>
      </c>
      <c r="K87" s="8">
        <f t="shared" si="5"/>
        <v>0</v>
      </c>
      <c r="L87" s="6"/>
      <c r="M87" s="6">
        <v>4</v>
      </c>
      <c r="N87" s="6" t="s">
        <v>76</v>
      </c>
      <c r="O87" s="6" t="s">
        <v>247</v>
      </c>
      <c r="P87" s="6"/>
    </row>
    <row r="88" spans="1:16" ht="14" customHeight="1">
      <c r="A88" s="5" t="s">
        <v>293</v>
      </c>
      <c r="B88" s="5" t="s">
        <v>10</v>
      </c>
      <c r="C88" s="5" t="s">
        <v>44</v>
      </c>
      <c r="D88" s="5" t="s">
        <v>73</v>
      </c>
      <c r="E88" s="5" t="s">
        <v>294</v>
      </c>
      <c r="F88" s="5" t="s">
        <v>149</v>
      </c>
      <c r="G88" s="9">
        <v>3110.2</v>
      </c>
      <c r="H88" s="9">
        <v>2500</v>
      </c>
      <c r="I88" s="10">
        <v>7775500</v>
      </c>
      <c r="J88" s="7">
        <f t="shared" si="4"/>
        <v>7775500</v>
      </c>
      <c r="K88" s="7">
        <f t="shared" si="5"/>
        <v>0</v>
      </c>
      <c r="L88" s="5"/>
      <c r="M88" s="5">
        <v>4</v>
      </c>
      <c r="N88" s="5" t="s">
        <v>76</v>
      </c>
      <c r="O88" s="5" t="s">
        <v>247</v>
      </c>
      <c r="P88" s="5"/>
    </row>
    <row r="89" spans="1:16" ht="14" customHeight="1">
      <c r="A89" s="6" t="s">
        <v>295</v>
      </c>
      <c r="B89" s="6" t="s">
        <v>10</v>
      </c>
      <c r="C89" s="6" t="s">
        <v>44</v>
      </c>
      <c r="D89" s="6" t="s">
        <v>78</v>
      </c>
      <c r="E89" s="6" t="s">
        <v>296</v>
      </c>
      <c r="F89" s="6" t="s">
        <v>149</v>
      </c>
      <c r="G89" s="11">
        <v>2485.3000000000002</v>
      </c>
      <c r="H89" s="11">
        <v>350</v>
      </c>
      <c r="I89" s="12">
        <v>869855</v>
      </c>
      <c r="J89" s="8">
        <f t="shared" si="4"/>
        <v>869855</v>
      </c>
      <c r="K89" s="8">
        <f t="shared" si="5"/>
        <v>0</v>
      </c>
      <c r="L89" s="6"/>
      <c r="M89" s="6">
        <v>5</v>
      </c>
      <c r="N89" s="6" t="s">
        <v>76</v>
      </c>
      <c r="O89" s="6" t="s">
        <v>247</v>
      </c>
      <c r="P89" s="6"/>
    </row>
    <row r="90" spans="1:16" ht="14" customHeight="1">
      <c r="A90" s="5" t="s">
        <v>297</v>
      </c>
      <c r="B90" s="5" t="s">
        <v>10</v>
      </c>
      <c r="C90" s="5" t="s">
        <v>44</v>
      </c>
      <c r="D90" s="5" t="s">
        <v>82</v>
      </c>
      <c r="E90" s="5" t="s">
        <v>298</v>
      </c>
      <c r="F90" s="5" t="s">
        <v>149</v>
      </c>
      <c r="G90" s="9">
        <v>6934.29</v>
      </c>
      <c r="H90" s="9">
        <v>1450</v>
      </c>
      <c r="I90" s="10">
        <v>10054721</v>
      </c>
      <c r="J90" s="7">
        <f t="shared" si="4"/>
        <v>10054721</v>
      </c>
      <c r="K90" s="7">
        <f t="shared" si="5"/>
        <v>0</v>
      </c>
      <c r="L90" s="5"/>
      <c r="M90" s="5">
        <v>5</v>
      </c>
      <c r="N90" s="5" t="s">
        <v>76</v>
      </c>
      <c r="O90" s="5" t="s">
        <v>247</v>
      </c>
      <c r="P90" s="5"/>
    </row>
    <row r="91" spans="1:16" ht="14" customHeight="1">
      <c r="A91" s="6" t="s">
        <v>299</v>
      </c>
      <c r="B91" s="6" t="s">
        <v>10</v>
      </c>
      <c r="C91" s="6" t="s">
        <v>44</v>
      </c>
      <c r="D91" s="6" t="s">
        <v>86</v>
      </c>
      <c r="E91" s="6" t="s">
        <v>300</v>
      </c>
      <c r="F91" s="6" t="s">
        <v>149</v>
      </c>
      <c r="G91" s="11">
        <v>332.64</v>
      </c>
      <c r="H91" s="11">
        <v>3500</v>
      </c>
      <c r="I91" s="12">
        <v>1164240</v>
      </c>
      <c r="J91" s="8">
        <f t="shared" si="4"/>
        <v>1164240</v>
      </c>
      <c r="K91" s="8">
        <f t="shared" si="5"/>
        <v>0</v>
      </c>
      <c r="L91" s="6"/>
      <c r="M91" s="6">
        <v>5</v>
      </c>
      <c r="N91" s="6" t="s">
        <v>76</v>
      </c>
      <c r="O91" s="6" t="s">
        <v>247</v>
      </c>
      <c r="P91" s="6"/>
    </row>
    <row r="92" spans="1:16" ht="14" customHeight="1">
      <c r="A92" s="5" t="s">
        <v>301</v>
      </c>
      <c r="B92" s="5" t="s">
        <v>10</v>
      </c>
      <c r="C92" s="5" t="s">
        <v>44</v>
      </c>
      <c r="D92" s="5" t="s">
        <v>89</v>
      </c>
      <c r="E92" s="5" t="s">
        <v>302</v>
      </c>
      <c r="F92" s="5" t="s">
        <v>149</v>
      </c>
      <c r="G92" s="9">
        <v>578.38</v>
      </c>
      <c r="H92" s="9">
        <v>2100</v>
      </c>
      <c r="I92" s="10">
        <v>1214598</v>
      </c>
      <c r="J92" s="7">
        <f t="shared" si="4"/>
        <v>1214598</v>
      </c>
      <c r="K92" s="7">
        <f t="shared" si="5"/>
        <v>0</v>
      </c>
      <c r="L92" s="5"/>
      <c r="M92" s="5">
        <v>5</v>
      </c>
      <c r="N92" s="5" t="s">
        <v>76</v>
      </c>
      <c r="O92" s="5" t="s">
        <v>247</v>
      </c>
      <c r="P92" s="5"/>
    </row>
    <row r="93" spans="1:16" ht="14" customHeight="1">
      <c r="A93" s="6" t="s">
        <v>303</v>
      </c>
      <c r="B93" s="6" t="s">
        <v>10</v>
      </c>
      <c r="C93" s="6" t="s">
        <v>46</v>
      </c>
      <c r="D93" s="6" t="s">
        <v>73</v>
      </c>
      <c r="E93" s="6" t="s">
        <v>304</v>
      </c>
      <c r="F93" s="6" t="s">
        <v>149</v>
      </c>
      <c r="G93" s="11">
        <v>293.86</v>
      </c>
      <c r="H93" s="11">
        <v>1450</v>
      </c>
      <c r="I93" s="12">
        <v>426097</v>
      </c>
      <c r="J93" s="8">
        <f t="shared" si="4"/>
        <v>426097</v>
      </c>
      <c r="K93" s="8">
        <f t="shared" si="5"/>
        <v>0</v>
      </c>
      <c r="L93" s="6"/>
      <c r="M93" s="6">
        <v>5</v>
      </c>
      <c r="N93" s="6" t="s">
        <v>76</v>
      </c>
      <c r="O93" s="6" t="s">
        <v>247</v>
      </c>
      <c r="P93" s="6"/>
    </row>
    <row r="94" spans="1:16" ht="14" customHeight="1">
      <c r="A94" s="5" t="s">
        <v>305</v>
      </c>
      <c r="B94" s="5" t="s">
        <v>10</v>
      </c>
      <c r="C94" s="5" t="s">
        <v>46</v>
      </c>
      <c r="D94" s="5" t="s">
        <v>78</v>
      </c>
      <c r="E94" s="5" t="s">
        <v>306</v>
      </c>
      <c r="F94" s="5" t="s">
        <v>149</v>
      </c>
      <c r="G94" s="9">
        <v>1205.05</v>
      </c>
      <c r="H94" s="9">
        <v>950</v>
      </c>
      <c r="I94" s="10">
        <v>1144798</v>
      </c>
      <c r="J94" s="7">
        <f t="shared" si="4"/>
        <v>1144798</v>
      </c>
      <c r="K94" s="7">
        <f t="shared" si="5"/>
        <v>0</v>
      </c>
      <c r="L94" s="5"/>
      <c r="M94" s="5">
        <v>5</v>
      </c>
      <c r="N94" s="5" t="s">
        <v>76</v>
      </c>
      <c r="O94" s="5" t="s">
        <v>247</v>
      </c>
      <c r="P94" s="5"/>
    </row>
    <row r="95" spans="1:16" ht="14" customHeight="1">
      <c r="A95" s="6" t="s">
        <v>307</v>
      </c>
      <c r="B95" s="6" t="s">
        <v>10</v>
      </c>
      <c r="C95" s="6" t="s">
        <v>46</v>
      </c>
      <c r="D95" s="6" t="s">
        <v>82</v>
      </c>
      <c r="E95" s="6" t="s">
        <v>308</v>
      </c>
      <c r="F95" s="6" t="s">
        <v>149</v>
      </c>
      <c r="G95" s="11">
        <v>122.69</v>
      </c>
      <c r="H95" s="11">
        <v>3500</v>
      </c>
      <c r="I95" s="12">
        <v>429415</v>
      </c>
      <c r="J95" s="8">
        <f t="shared" si="4"/>
        <v>429415</v>
      </c>
      <c r="K95" s="8">
        <f t="shared" si="5"/>
        <v>0</v>
      </c>
      <c r="L95" s="6"/>
      <c r="M95" s="6">
        <v>5</v>
      </c>
      <c r="N95" s="6" t="s">
        <v>76</v>
      </c>
      <c r="O95" s="6" t="s">
        <v>247</v>
      </c>
      <c r="P95" s="6"/>
    </row>
    <row r="96" spans="1:16" ht="14" customHeight="1">
      <c r="A96" s="5" t="s">
        <v>309</v>
      </c>
      <c r="B96" s="5" t="s">
        <v>10</v>
      </c>
      <c r="C96" s="5" t="s">
        <v>46</v>
      </c>
      <c r="D96" s="5" t="s">
        <v>86</v>
      </c>
      <c r="E96" s="5" t="s">
        <v>310</v>
      </c>
      <c r="F96" s="5" t="s">
        <v>149</v>
      </c>
      <c r="G96" s="9">
        <v>176.87</v>
      </c>
      <c r="H96" s="9">
        <v>2450</v>
      </c>
      <c r="I96" s="10">
        <v>433332</v>
      </c>
      <c r="J96" s="7">
        <f t="shared" si="4"/>
        <v>433332</v>
      </c>
      <c r="K96" s="7">
        <f t="shared" si="5"/>
        <v>0</v>
      </c>
      <c r="L96" s="5"/>
      <c r="M96" s="5">
        <v>5</v>
      </c>
      <c r="N96" s="5" t="s">
        <v>76</v>
      </c>
      <c r="O96" s="5" t="s">
        <v>247</v>
      </c>
      <c r="P96" s="5"/>
    </row>
    <row r="97" spans="1:16" ht="14" customHeight="1">
      <c r="A97" s="6" t="s">
        <v>311</v>
      </c>
      <c r="B97" s="6" t="s">
        <v>11</v>
      </c>
      <c r="C97" s="6"/>
      <c r="D97" s="6" t="s">
        <v>73</v>
      </c>
      <c r="E97" s="6" t="s">
        <v>312</v>
      </c>
      <c r="F97" s="6" t="s">
        <v>149</v>
      </c>
      <c r="G97" s="11">
        <v>1072.5</v>
      </c>
      <c r="H97" s="11">
        <v>2450</v>
      </c>
      <c r="I97" s="12">
        <v>2627625</v>
      </c>
      <c r="J97" s="8">
        <f t="shared" si="4"/>
        <v>2627625</v>
      </c>
      <c r="K97" s="8">
        <f t="shared" si="5"/>
        <v>0</v>
      </c>
      <c r="L97" s="6"/>
      <c r="M97" s="6">
        <v>5</v>
      </c>
      <c r="N97" s="6" t="s">
        <v>76</v>
      </c>
      <c r="O97" s="6" t="s">
        <v>247</v>
      </c>
      <c r="P97" s="6"/>
    </row>
    <row r="98" spans="1:16" ht="14" customHeight="1">
      <c r="A98" s="5" t="s">
        <v>313</v>
      </c>
      <c r="B98" s="5" t="s">
        <v>11</v>
      </c>
      <c r="C98" s="5"/>
      <c r="D98" s="5" t="s">
        <v>78</v>
      </c>
      <c r="E98" s="5" t="s">
        <v>314</v>
      </c>
      <c r="F98" s="5" t="s">
        <v>149</v>
      </c>
      <c r="G98" s="9">
        <v>945</v>
      </c>
      <c r="H98" s="9">
        <v>6500</v>
      </c>
      <c r="I98" s="10">
        <v>6142500</v>
      </c>
      <c r="J98" s="7">
        <f t="shared" si="4"/>
        <v>6142500</v>
      </c>
      <c r="K98" s="7">
        <f t="shared" si="5"/>
        <v>0</v>
      </c>
      <c r="L98" s="5"/>
      <c r="M98" s="5">
        <v>5</v>
      </c>
      <c r="N98" s="5" t="s">
        <v>76</v>
      </c>
      <c r="O98" s="5" t="s">
        <v>247</v>
      </c>
      <c r="P98" s="5"/>
    </row>
    <row r="99" spans="1:16" ht="14" customHeight="1">
      <c r="A99" s="6" t="s">
        <v>315</v>
      </c>
      <c r="B99" s="6" t="s">
        <v>11</v>
      </c>
      <c r="C99" s="6"/>
      <c r="D99" s="6" t="s">
        <v>82</v>
      </c>
      <c r="E99" s="6" t="s">
        <v>316</v>
      </c>
      <c r="F99" s="6" t="s">
        <v>149</v>
      </c>
      <c r="G99" s="11">
        <v>257.83999999999997</v>
      </c>
      <c r="H99" s="11">
        <v>5500</v>
      </c>
      <c r="I99" s="12">
        <v>1418120</v>
      </c>
      <c r="J99" s="8">
        <f t="shared" si="4"/>
        <v>1418120</v>
      </c>
      <c r="K99" s="8">
        <f t="shared" si="5"/>
        <v>0</v>
      </c>
      <c r="L99" s="6"/>
      <c r="M99" s="6">
        <v>5</v>
      </c>
      <c r="N99" s="6" t="s">
        <v>76</v>
      </c>
      <c r="O99" s="6" t="s">
        <v>247</v>
      </c>
      <c r="P99" s="6"/>
    </row>
    <row r="100" spans="1:16" ht="14" customHeight="1">
      <c r="A100" s="5" t="s">
        <v>317</v>
      </c>
      <c r="B100" s="5" t="s">
        <v>11</v>
      </c>
      <c r="C100" s="5"/>
      <c r="D100" s="5" t="s">
        <v>86</v>
      </c>
      <c r="E100" s="5" t="s">
        <v>318</v>
      </c>
      <c r="F100" s="5" t="s">
        <v>149</v>
      </c>
      <c r="G100" s="9">
        <v>13.23</v>
      </c>
      <c r="H100" s="9">
        <v>4500</v>
      </c>
      <c r="I100" s="10">
        <v>59535</v>
      </c>
      <c r="J100" s="7">
        <f t="shared" si="4"/>
        <v>59535</v>
      </c>
      <c r="K100" s="7">
        <f t="shared" si="5"/>
        <v>0</v>
      </c>
      <c r="L100" s="5"/>
      <c r="M100" s="5">
        <v>5</v>
      </c>
      <c r="N100" s="5" t="s">
        <v>76</v>
      </c>
      <c r="O100" s="5" t="s">
        <v>247</v>
      </c>
      <c r="P100" s="5"/>
    </row>
    <row r="101" spans="1:16" ht="14" customHeight="1">
      <c r="A101" s="6" t="s">
        <v>319</v>
      </c>
      <c r="B101" s="6" t="s">
        <v>11</v>
      </c>
      <c r="C101" s="6"/>
      <c r="D101" s="6" t="s">
        <v>89</v>
      </c>
      <c r="E101" s="6" t="s">
        <v>320</v>
      </c>
      <c r="F101" s="6" t="s">
        <v>149</v>
      </c>
      <c r="G101" s="11">
        <v>261.82</v>
      </c>
      <c r="H101" s="11">
        <v>2100</v>
      </c>
      <c r="I101" s="12">
        <v>549822</v>
      </c>
      <c r="J101" s="8">
        <f t="shared" si="4"/>
        <v>549822</v>
      </c>
      <c r="K101" s="8">
        <f t="shared" si="5"/>
        <v>0</v>
      </c>
      <c r="L101" s="6"/>
      <c r="M101" s="6">
        <v>5</v>
      </c>
      <c r="N101" s="6" t="s">
        <v>76</v>
      </c>
      <c r="O101" s="6" t="s">
        <v>247</v>
      </c>
      <c r="P101" s="6"/>
    </row>
    <row r="102" spans="1:16" ht="14" customHeight="1">
      <c r="A102" s="5" t="s">
        <v>321</v>
      </c>
      <c r="B102" s="5" t="s">
        <v>11</v>
      </c>
      <c r="C102" s="5"/>
      <c r="D102" s="5" t="s">
        <v>92</v>
      </c>
      <c r="E102" s="5" t="s">
        <v>322</v>
      </c>
      <c r="F102" s="5" t="s">
        <v>149</v>
      </c>
      <c r="G102" s="9">
        <v>334.89</v>
      </c>
      <c r="H102" s="9">
        <v>1850</v>
      </c>
      <c r="I102" s="10">
        <v>619547</v>
      </c>
      <c r="J102" s="7">
        <f t="shared" ref="J102:J133" si="6">IF(OR(G102="",H102=""),"",ROUND(G102*H102,0))</f>
        <v>619547</v>
      </c>
      <c r="K102" s="7">
        <f t="shared" ref="K102:K133" si="7">IF(OR(I102="",J102=""),"",I102-J102)</f>
        <v>0</v>
      </c>
      <c r="L102" s="5"/>
      <c r="M102" s="5">
        <v>5</v>
      </c>
      <c r="N102" s="5" t="s">
        <v>76</v>
      </c>
      <c r="O102" s="5" t="s">
        <v>247</v>
      </c>
      <c r="P102" s="5"/>
    </row>
    <row r="103" spans="1:16" ht="14" customHeight="1">
      <c r="A103" s="6" t="s">
        <v>323</v>
      </c>
      <c r="B103" s="6" t="s">
        <v>11</v>
      </c>
      <c r="C103" s="6"/>
      <c r="D103" s="6" t="s">
        <v>97</v>
      </c>
      <c r="E103" s="6" t="s">
        <v>324</v>
      </c>
      <c r="F103" s="6" t="s">
        <v>149</v>
      </c>
      <c r="G103" s="11">
        <v>1048.3699999999999</v>
      </c>
      <c r="H103" s="11">
        <v>1200</v>
      </c>
      <c r="I103" s="12">
        <v>1258044</v>
      </c>
      <c r="J103" s="8">
        <f t="shared" si="6"/>
        <v>1258044</v>
      </c>
      <c r="K103" s="8">
        <f t="shared" si="7"/>
        <v>0</v>
      </c>
      <c r="L103" s="6"/>
      <c r="M103" s="6">
        <v>5</v>
      </c>
      <c r="N103" s="6" t="s">
        <v>76</v>
      </c>
      <c r="O103" s="6" t="s">
        <v>247</v>
      </c>
      <c r="P103" s="6"/>
    </row>
    <row r="104" spans="1:16" ht="14" customHeight="1">
      <c r="A104" s="5" t="s">
        <v>325</v>
      </c>
      <c r="B104" s="5" t="s">
        <v>11</v>
      </c>
      <c r="C104" s="5"/>
      <c r="D104" s="5" t="s">
        <v>102</v>
      </c>
      <c r="E104" s="5" t="s">
        <v>326</v>
      </c>
      <c r="F104" s="5" t="s">
        <v>80</v>
      </c>
      <c r="G104" s="9">
        <v>16.399999999999999</v>
      </c>
      <c r="H104" s="9">
        <v>4000</v>
      </c>
      <c r="I104" s="10">
        <v>65600</v>
      </c>
      <c r="J104" s="7">
        <f t="shared" si="6"/>
        <v>65600</v>
      </c>
      <c r="K104" s="7">
        <f t="shared" si="7"/>
        <v>0</v>
      </c>
      <c r="L104" s="5"/>
      <c r="M104" s="5">
        <v>5</v>
      </c>
      <c r="N104" s="5" t="s">
        <v>76</v>
      </c>
      <c r="O104" s="5" t="s">
        <v>247</v>
      </c>
      <c r="P104" s="5"/>
    </row>
    <row r="105" spans="1:16" ht="14" customHeight="1">
      <c r="A105" s="6" t="s">
        <v>327</v>
      </c>
      <c r="B105" s="6" t="s">
        <v>11</v>
      </c>
      <c r="C105" s="6"/>
      <c r="D105" s="6" t="s">
        <v>106</v>
      </c>
      <c r="E105" s="6" t="s">
        <v>328</v>
      </c>
      <c r="F105" s="6" t="s">
        <v>80</v>
      </c>
      <c r="G105" s="11">
        <v>14.8</v>
      </c>
      <c r="H105" s="11">
        <v>8500</v>
      </c>
      <c r="I105" s="12">
        <v>125800</v>
      </c>
      <c r="J105" s="8">
        <f t="shared" si="6"/>
        <v>125800</v>
      </c>
      <c r="K105" s="8">
        <f t="shared" si="7"/>
        <v>0</v>
      </c>
      <c r="L105" s="6"/>
      <c r="M105" s="6">
        <v>5</v>
      </c>
      <c r="N105" s="6" t="s">
        <v>76</v>
      </c>
      <c r="O105" s="6" t="s">
        <v>247</v>
      </c>
      <c r="P105" s="6"/>
    </row>
    <row r="106" spans="1:16" ht="14" customHeight="1">
      <c r="A106" s="5" t="s">
        <v>329</v>
      </c>
      <c r="B106" s="5" t="s">
        <v>11</v>
      </c>
      <c r="C106" s="5"/>
      <c r="D106" s="5" t="s">
        <v>109</v>
      </c>
      <c r="E106" s="5" t="s">
        <v>330</v>
      </c>
      <c r="F106" s="5" t="s">
        <v>75</v>
      </c>
      <c r="G106" s="9">
        <v>1</v>
      </c>
      <c r="H106" s="9">
        <v>200000</v>
      </c>
      <c r="I106" s="10">
        <v>200000</v>
      </c>
      <c r="J106" s="7">
        <f t="shared" si="6"/>
        <v>200000</v>
      </c>
      <c r="K106" s="7">
        <f t="shared" si="7"/>
        <v>0</v>
      </c>
      <c r="L106" s="5"/>
      <c r="M106" s="5">
        <v>5</v>
      </c>
      <c r="N106" s="5" t="s">
        <v>76</v>
      </c>
      <c r="O106" s="5" t="s">
        <v>247</v>
      </c>
      <c r="P106" s="5"/>
    </row>
    <row r="107" spans="1:16" ht="14" customHeight="1">
      <c r="A107" s="6" t="s">
        <v>331</v>
      </c>
      <c r="B107" s="6" t="s">
        <v>12</v>
      </c>
      <c r="C107" s="6"/>
      <c r="D107" s="6" t="s">
        <v>73</v>
      </c>
      <c r="E107" s="6" t="s">
        <v>332</v>
      </c>
      <c r="F107" s="6" t="s">
        <v>333</v>
      </c>
      <c r="G107" s="11">
        <v>4</v>
      </c>
      <c r="H107" s="11">
        <v>4500</v>
      </c>
      <c r="I107" s="12">
        <v>18000</v>
      </c>
      <c r="J107" s="8">
        <f t="shared" si="6"/>
        <v>18000</v>
      </c>
      <c r="K107" s="8">
        <f t="shared" si="7"/>
        <v>0</v>
      </c>
      <c r="L107" s="6"/>
      <c r="M107" s="6">
        <v>5</v>
      </c>
      <c r="N107" s="6" t="s">
        <v>76</v>
      </c>
      <c r="O107" s="6" t="s">
        <v>12</v>
      </c>
      <c r="P107" s="6"/>
    </row>
    <row r="108" spans="1:16" ht="14" customHeight="1">
      <c r="A108" s="5" t="s">
        <v>334</v>
      </c>
      <c r="B108" s="5" t="s">
        <v>12</v>
      </c>
      <c r="C108" s="5"/>
      <c r="D108" s="5" t="s">
        <v>78</v>
      </c>
      <c r="E108" s="5" t="s">
        <v>335</v>
      </c>
      <c r="F108" s="5" t="s">
        <v>333</v>
      </c>
      <c r="G108" s="9">
        <v>6</v>
      </c>
      <c r="H108" s="9">
        <v>10500</v>
      </c>
      <c r="I108" s="10">
        <v>63000</v>
      </c>
      <c r="J108" s="7">
        <f t="shared" si="6"/>
        <v>63000</v>
      </c>
      <c r="K108" s="7">
        <f t="shared" si="7"/>
        <v>0</v>
      </c>
      <c r="L108" s="5"/>
      <c r="M108" s="5">
        <v>5</v>
      </c>
      <c r="N108" s="5" t="s">
        <v>76</v>
      </c>
      <c r="O108" s="5" t="s">
        <v>12</v>
      </c>
      <c r="P108" s="5"/>
    </row>
    <row r="109" spans="1:16" ht="14" customHeight="1">
      <c r="A109" s="6" t="s">
        <v>336</v>
      </c>
      <c r="B109" s="6" t="s">
        <v>12</v>
      </c>
      <c r="C109" s="6"/>
      <c r="D109" s="6" t="s">
        <v>82</v>
      </c>
      <c r="E109" s="6" t="s">
        <v>337</v>
      </c>
      <c r="F109" s="6" t="s">
        <v>333</v>
      </c>
      <c r="G109" s="11">
        <v>6</v>
      </c>
      <c r="H109" s="11">
        <v>18500</v>
      </c>
      <c r="I109" s="12">
        <v>111000</v>
      </c>
      <c r="J109" s="8">
        <f t="shared" si="6"/>
        <v>111000</v>
      </c>
      <c r="K109" s="8">
        <f t="shared" si="7"/>
        <v>0</v>
      </c>
      <c r="L109" s="6"/>
      <c r="M109" s="6">
        <v>5</v>
      </c>
      <c r="N109" s="6" t="s">
        <v>76</v>
      </c>
      <c r="O109" s="6" t="s">
        <v>12</v>
      </c>
      <c r="P109" s="6"/>
    </row>
    <row r="110" spans="1:16" ht="14" customHeight="1">
      <c r="A110" s="5" t="s">
        <v>338</v>
      </c>
      <c r="B110" s="5" t="s">
        <v>12</v>
      </c>
      <c r="C110" s="5"/>
      <c r="D110" s="5" t="s">
        <v>86</v>
      </c>
      <c r="E110" s="5" t="s">
        <v>339</v>
      </c>
      <c r="F110" s="5" t="s">
        <v>333</v>
      </c>
      <c r="G110" s="9">
        <v>3</v>
      </c>
      <c r="H110" s="9">
        <v>45000</v>
      </c>
      <c r="I110" s="10">
        <v>135000</v>
      </c>
      <c r="J110" s="7">
        <f t="shared" si="6"/>
        <v>135000</v>
      </c>
      <c r="K110" s="7">
        <f t="shared" si="7"/>
        <v>0</v>
      </c>
      <c r="L110" s="5"/>
      <c r="M110" s="5">
        <v>5</v>
      </c>
      <c r="N110" s="5" t="s">
        <v>76</v>
      </c>
      <c r="O110" s="5" t="s">
        <v>12</v>
      </c>
      <c r="P110" s="5"/>
    </row>
    <row r="111" spans="1:16" ht="14" customHeight="1">
      <c r="A111" s="6" t="s">
        <v>340</v>
      </c>
      <c r="B111" s="6" t="s">
        <v>12</v>
      </c>
      <c r="C111" s="6"/>
      <c r="D111" s="6" t="s">
        <v>89</v>
      </c>
      <c r="E111" s="6" t="s">
        <v>341</v>
      </c>
      <c r="F111" s="6" t="s">
        <v>333</v>
      </c>
      <c r="G111" s="11">
        <v>2</v>
      </c>
      <c r="H111" s="11">
        <v>42500</v>
      </c>
      <c r="I111" s="12">
        <v>85000</v>
      </c>
      <c r="J111" s="8">
        <f t="shared" si="6"/>
        <v>85000</v>
      </c>
      <c r="K111" s="8">
        <f t="shared" si="7"/>
        <v>0</v>
      </c>
      <c r="L111" s="6"/>
      <c r="M111" s="6">
        <v>5</v>
      </c>
      <c r="N111" s="6" t="s">
        <v>76</v>
      </c>
      <c r="O111" s="6" t="s">
        <v>12</v>
      </c>
      <c r="P111" s="6"/>
    </row>
    <row r="112" spans="1:16" ht="14" customHeight="1">
      <c r="A112" s="5" t="s">
        <v>342</v>
      </c>
      <c r="B112" s="5" t="s">
        <v>12</v>
      </c>
      <c r="C112" s="5"/>
      <c r="D112" s="5" t="s">
        <v>92</v>
      </c>
      <c r="E112" s="5" t="s">
        <v>343</v>
      </c>
      <c r="F112" s="5" t="s">
        <v>333</v>
      </c>
      <c r="G112" s="9">
        <v>1</v>
      </c>
      <c r="H112" s="9">
        <v>13500</v>
      </c>
      <c r="I112" s="10">
        <v>13500</v>
      </c>
      <c r="J112" s="7">
        <f t="shared" si="6"/>
        <v>13500</v>
      </c>
      <c r="K112" s="7">
        <f t="shared" si="7"/>
        <v>0</v>
      </c>
      <c r="L112" s="5"/>
      <c r="M112" s="5">
        <v>5</v>
      </c>
      <c r="N112" s="5" t="s">
        <v>76</v>
      </c>
      <c r="O112" s="5" t="s">
        <v>12</v>
      </c>
      <c r="P112" s="5"/>
    </row>
    <row r="113" spans="1:16" ht="14" customHeight="1">
      <c r="A113" s="6" t="s">
        <v>344</v>
      </c>
      <c r="B113" s="6" t="s">
        <v>12</v>
      </c>
      <c r="C113" s="6"/>
      <c r="D113" s="6" t="s">
        <v>97</v>
      </c>
      <c r="E113" s="6" t="s">
        <v>345</v>
      </c>
      <c r="F113" s="6" t="s">
        <v>333</v>
      </c>
      <c r="G113" s="11">
        <v>1</v>
      </c>
      <c r="H113" s="11">
        <v>14500</v>
      </c>
      <c r="I113" s="12">
        <v>14500</v>
      </c>
      <c r="J113" s="8">
        <f t="shared" si="6"/>
        <v>14500</v>
      </c>
      <c r="K113" s="8">
        <f t="shared" si="7"/>
        <v>0</v>
      </c>
      <c r="L113" s="6"/>
      <c r="M113" s="6">
        <v>5</v>
      </c>
      <c r="N113" s="6" t="s">
        <v>76</v>
      </c>
      <c r="O113" s="6" t="s">
        <v>12</v>
      </c>
      <c r="P113" s="6"/>
    </row>
    <row r="114" spans="1:16" ht="14" customHeight="1">
      <c r="A114" s="5" t="s">
        <v>346</v>
      </c>
      <c r="B114" s="5" t="s">
        <v>12</v>
      </c>
      <c r="C114" s="5"/>
      <c r="D114" s="5" t="s">
        <v>102</v>
      </c>
      <c r="E114" s="5" t="s">
        <v>347</v>
      </c>
      <c r="F114" s="5" t="s">
        <v>333</v>
      </c>
      <c r="G114" s="9">
        <v>1</v>
      </c>
      <c r="H114" s="9">
        <v>28500</v>
      </c>
      <c r="I114" s="10">
        <v>28500</v>
      </c>
      <c r="J114" s="7">
        <f t="shared" si="6"/>
        <v>28500</v>
      </c>
      <c r="K114" s="7">
        <f t="shared" si="7"/>
        <v>0</v>
      </c>
      <c r="L114" s="5"/>
      <c r="M114" s="5">
        <v>5</v>
      </c>
      <c r="N114" s="5" t="s">
        <v>76</v>
      </c>
      <c r="O114" s="5" t="s">
        <v>12</v>
      </c>
      <c r="P114" s="5"/>
    </row>
    <row r="115" spans="1:16" ht="14" customHeight="1">
      <c r="A115" s="6" t="s">
        <v>348</v>
      </c>
      <c r="B115" s="6" t="s">
        <v>12</v>
      </c>
      <c r="C115" s="6"/>
      <c r="D115" s="6" t="s">
        <v>106</v>
      </c>
      <c r="E115" s="6" t="s">
        <v>349</v>
      </c>
      <c r="F115" s="6" t="s">
        <v>333</v>
      </c>
      <c r="G115" s="11">
        <v>1</v>
      </c>
      <c r="H115" s="11">
        <v>49500</v>
      </c>
      <c r="I115" s="12">
        <v>49500</v>
      </c>
      <c r="J115" s="8">
        <f t="shared" si="6"/>
        <v>49500</v>
      </c>
      <c r="K115" s="8">
        <f t="shared" si="7"/>
        <v>0</v>
      </c>
      <c r="L115" s="6"/>
      <c r="M115" s="6">
        <v>6</v>
      </c>
      <c r="N115" s="6" t="s">
        <v>76</v>
      </c>
      <c r="O115" s="6" t="s">
        <v>12</v>
      </c>
      <c r="P115" s="6"/>
    </row>
    <row r="116" spans="1:16" ht="14" customHeight="1">
      <c r="A116" s="5" t="s">
        <v>350</v>
      </c>
      <c r="B116" s="5" t="s">
        <v>12</v>
      </c>
      <c r="C116" s="5"/>
      <c r="D116" s="5" t="s">
        <v>109</v>
      </c>
      <c r="E116" s="5" t="s">
        <v>351</v>
      </c>
      <c r="F116" s="5" t="s">
        <v>333</v>
      </c>
      <c r="G116" s="9">
        <v>2</v>
      </c>
      <c r="H116" s="9">
        <v>22500</v>
      </c>
      <c r="I116" s="10">
        <v>45000</v>
      </c>
      <c r="J116" s="7">
        <f t="shared" si="6"/>
        <v>45000</v>
      </c>
      <c r="K116" s="7">
        <f t="shared" si="7"/>
        <v>0</v>
      </c>
      <c r="L116" s="5"/>
      <c r="M116" s="5">
        <v>6</v>
      </c>
      <c r="N116" s="5" t="s">
        <v>76</v>
      </c>
      <c r="O116" s="5" t="s">
        <v>12</v>
      </c>
      <c r="P116" s="5"/>
    </row>
    <row r="117" spans="1:16" ht="14" customHeight="1">
      <c r="A117" s="6" t="s">
        <v>352</v>
      </c>
      <c r="B117" s="6" t="s">
        <v>12</v>
      </c>
      <c r="C117" s="6"/>
      <c r="D117" s="6" t="s">
        <v>112</v>
      </c>
      <c r="E117" s="6" t="s">
        <v>353</v>
      </c>
      <c r="F117" s="6" t="s">
        <v>333</v>
      </c>
      <c r="G117" s="11">
        <v>1</v>
      </c>
      <c r="H117" s="11">
        <v>52500</v>
      </c>
      <c r="I117" s="12">
        <v>52500</v>
      </c>
      <c r="J117" s="8">
        <f t="shared" si="6"/>
        <v>52500</v>
      </c>
      <c r="K117" s="8">
        <f t="shared" si="7"/>
        <v>0</v>
      </c>
      <c r="L117" s="6"/>
      <c r="M117" s="6">
        <v>6</v>
      </c>
      <c r="N117" s="6" t="s">
        <v>76</v>
      </c>
      <c r="O117" s="6" t="s">
        <v>12</v>
      </c>
      <c r="P117" s="6"/>
    </row>
    <row r="118" spans="1:16" ht="14" customHeight="1">
      <c r="A118" s="5" t="s">
        <v>354</v>
      </c>
      <c r="B118" s="5" t="s">
        <v>12</v>
      </c>
      <c r="C118" s="5"/>
      <c r="D118" s="5" t="s">
        <v>115</v>
      </c>
      <c r="E118" s="5" t="s">
        <v>355</v>
      </c>
      <c r="F118" s="5" t="s">
        <v>333</v>
      </c>
      <c r="G118" s="9">
        <v>1</v>
      </c>
      <c r="H118" s="9">
        <v>30000</v>
      </c>
      <c r="I118" s="10">
        <v>30000</v>
      </c>
      <c r="J118" s="7">
        <f t="shared" si="6"/>
        <v>30000</v>
      </c>
      <c r="K118" s="7">
        <f t="shared" si="7"/>
        <v>0</v>
      </c>
      <c r="L118" s="5"/>
      <c r="M118" s="5">
        <v>6</v>
      </c>
      <c r="N118" s="5" t="s">
        <v>76</v>
      </c>
      <c r="O118" s="5" t="s">
        <v>12</v>
      </c>
      <c r="P118" s="5"/>
    </row>
    <row r="119" spans="1:16" ht="14" customHeight="1">
      <c r="A119" s="6" t="s">
        <v>356</v>
      </c>
      <c r="B119" s="6" t="s">
        <v>12</v>
      </c>
      <c r="C119" s="6"/>
      <c r="D119" s="6" t="s">
        <v>118</v>
      </c>
      <c r="E119" s="6" t="s">
        <v>357</v>
      </c>
      <c r="F119" s="6" t="s">
        <v>333</v>
      </c>
      <c r="G119" s="11">
        <v>1</v>
      </c>
      <c r="H119" s="11">
        <v>64532</v>
      </c>
      <c r="I119" s="12">
        <v>64532</v>
      </c>
      <c r="J119" s="8">
        <f t="shared" si="6"/>
        <v>64532</v>
      </c>
      <c r="K119" s="8">
        <f t="shared" si="7"/>
        <v>0</v>
      </c>
      <c r="L119" s="6"/>
      <c r="M119" s="6">
        <v>6</v>
      </c>
      <c r="N119" s="6" t="s">
        <v>76</v>
      </c>
      <c r="O119" s="6" t="s">
        <v>12</v>
      </c>
      <c r="P119" s="6"/>
    </row>
    <row r="120" spans="1:16" ht="14" customHeight="1">
      <c r="A120" s="5" t="s">
        <v>358</v>
      </c>
      <c r="B120" s="5" t="s">
        <v>12</v>
      </c>
      <c r="C120" s="5"/>
      <c r="D120" s="5" t="s">
        <v>121</v>
      </c>
      <c r="E120" s="5" t="s">
        <v>359</v>
      </c>
      <c r="F120" s="5" t="s">
        <v>333</v>
      </c>
      <c r="G120" s="9">
        <v>6</v>
      </c>
      <c r="H120" s="9">
        <v>21350</v>
      </c>
      <c r="I120" s="10">
        <v>128100</v>
      </c>
      <c r="J120" s="7">
        <f t="shared" si="6"/>
        <v>128100</v>
      </c>
      <c r="K120" s="7">
        <f t="shared" si="7"/>
        <v>0</v>
      </c>
      <c r="L120" s="5"/>
      <c r="M120" s="5">
        <v>6</v>
      </c>
      <c r="N120" s="5" t="s">
        <v>76</v>
      </c>
      <c r="O120" s="5" t="s">
        <v>12</v>
      </c>
      <c r="P120" s="5"/>
    </row>
    <row r="121" spans="1:16" ht="14" customHeight="1">
      <c r="A121" s="6" t="s">
        <v>360</v>
      </c>
      <c r="B121" s="6" t="s">
        <v>12</v>
      </c>
      <c r="C121" s="6"/>
      <c r="D121" s="6" t="s">
        <v>124</v>
      </c>
      <c r="E121" s="6" t="s">
        <v>361</v>
      </c>
      <c r="F121" s="6" t="s">
        <v>333</v>
      </c>
      <c r="G121" s="11">
        <v>1</v>
      </c>
      <c r="H121" s="11">
        <v>10500</v>
      </c>
      <c r="I121" s="12">
        <v>10500</v>
      </c>
      <c r="J121" s="8">
        <f t="shared" si="6"/>
        <v>10500</v>
      </c>
      <c r="K121" s="8">
        <f t="shared" si="7"/>
        <v>0</v>
      </c>
      <c r="L121" s="6"/>
      <c r="M121" s="6">
        <v>6</v>
      </c>
      <c r="N121" s="6" t="s">
        <v>76</v>
      </c>
      <c r="O121" s="6" t="s">
        <v>12</v>
      </c>
      <c r="P121" s="6"/>
    </row>
    <row r="122" spans="1:16" ht="14" customHeight="1">
      <c r="A122" s="5" t="s">
        <v>362</v>
      </c>
      <c r="B122" s="5" t="s">
        <v>12</v>
      </c>
      <c r="C122" s="5"/>
      <c r="D122" s="5" t="s">
        <v>128</v>
      </c>
      <c r="E122" s="5" t="s">
        <v>363</v>
      </c>
      <c r="F122" s="5" t="s">
        <v>333</v>
      </c>
      <c r="G122" s="9">
        <v>3</v>
      </c>
      <c r="H122" s="9">
        <v>10501</v>
      </c>
      <c r="I122" s="10">
        <v>31503</v>
      </c>
      <c r="J122" s="7">
        <f t="shared" si="6"/>
        <v>31503</v>
      </c>
      <c r="K122" s="7">
        <f t="shared" si="7"/>
        <v>0</v>
      </c>
      <c r="L122" s="5"/>
      <c r="M122" s="5">
        <v>6</v>
      </c>
      <c r="N122" s="5" t="s">
        <v>76</v>
      </c>
      <c r="O122" s="5" t="s">
        <v>12</v>
      </c>
      <c r="P122" s="5"/>
    </row>
    <row r="123" spans="1:16" ht="14" customHeight="1">
      <c r="A123" s="6" t="s">
        <v>364</v>
      </c>
      <c r="B123" s="6" t="s">
        <v>12</v>
      </c>
      <c r="C123" s="6"/>
      <c r="D123" s="6" t="s">
        <v>132</v>
      </c>
      <c r="E123" s="6" t="s">
        <v>365</v>
      </c>
      <c r="F123" s="6" t="s">
        <v>333</v>
      </c>
      <c r="G123" s="11">
        <v>8</v>
      </c>
      <c r="H123" s="11">
        <v>28448</v>
      </c>
      <c r="I123" s="12">
        <v>227584</v>
      </c>
      <c r="J123" s="8">
        <f t="shared" si="6"/>
        <v>227584</v>
      </c>
      <c r="K123" s="8">
        <f t="shared" si="7"/>
        <v>0</v>
      </c>
      <c r="L123" s="6"/>
      <c r="M123" s="6">
        <v>6</v>
      </c>
      <c r="N123" s="6" t="s">
        <v>76</v>
      </c>
      <c r="O123" s="6" t="s">
        <v>12</v>
      </c>
      <c r="P123" s="6"/>
    </row>
    <row r="124" spans="1:16" ht="14" customHeight="1">
      <c r="A124" s="5" t="s">
        <v>366</v>
      </c>
      <c r="B124" s="5" t="s">
        <v>12</v>
      </c>
      <c r="C124" s="5"/>
      <c r="D124" s="5" t="s">
        <v>136</v>
      </c>
      <c r="E124" s="5" t="s">
        <v>367</v>
      </c>
      <c r="F124" s="5" t="s">
        <v>333</v>
      </c>
      <c r="G124" s="9">
        <v>2</v>
      </c>
      <c r="H124" s="9">
        <v>28476</v>
      </c>
      <c r="I124" s="10">
        <v>56952</v>
      </c>
      <c r="J124" s="7">
        <f t="shared" si="6"/>
        <v>56952</v>
      </c>
      <c r="K124" s="7">
        <f t="shared" si="7"/>
        <v>0</v>
      </c>
      <c r="L124" s="5"/>
      <c r="M124" s="5">
        <v>6</v>
      </c>
      <c r="N124" s="5" t="s">
        <v>76</v>
      </c>
      <c r="O124" s="5" t="s">
        <v>12</v>
      </c>
      <c r="P124" s="5"/>
    </row>
    <row r="125" spans="1:16" ht="14" customHeight="1">
      <c r="A125" s="6" t="s">
        <v>368</v>
      </c>
      <c r="B125" s="6" t="s">
        <v>12</v>
      </c>
      <c r="C125" s="6"/>
      <c r="D125" s="6" t="s">
        <v>139</v>
      </c>
      <c r="E125" s="6" t="s">
        <v>369</v>
      </c>
      <c r="F125" s="6" t="s">
        <v>333</v>
      </c>
      <c r="G125" s="11">
        <v>1</v>
      </c>
      <c r="H125" s="11">
        <v>48568</v>
      </c>
      <c r="I125" s="12">
        <v>48568</v>
      </c>
      <c r="J125" s="8">
        <f t="shared" si="6"/>
        <v>48568</v>
      </c>
      <c r="K125" s="8">
        <f t="shared" si="7"/>
        <v>0</v>
      </c>
      <c r="L125" s="6"/>
      <c r="M125" s="6">
        <v>6</v>
      </c>
      <c r="N125" s="6" t="s">
        <v>76</v>
      </c>
      <c r="O125" s="6" t="s">
        <v>12</v>
      </c>
      <c r="P125" s="6"/>
    </row>
    <row r="126" spans="1:16" ht="14" customHeight="1">
      <c r="A126" s="5" t="s">
        <v>370</v>
      </c>
      <c r="B126" s="5" t="s">
        <v>12</v>
      </c>
      <c r="C126" s="5"/>
      <c r="D126" s="5" t="s">
        <v>142</v>
      </c>
      <c r="E126" s="5" t="s">
        <v>371</v>
      </c>
      <c r="F126" s="5" t="s">
        <v>333</v>
      </c>
      <c r="G126" s="9">
        <v>2</v>
      </c>
      <c r="H126" s="9">
        <v>28448</v>
      </c>
      <c r="I126" s="10">
        <v>56896</v>
      </c>
      <c r="J126" s="7">
        <f t="shared" si="6"/>
        <v>56896</v>
      </c>
      <c r="K126" s="7">
        <f t="shared" si="7"/>
        <v>0</v>
      </c>
      <c r="L126" s="5"/>
      <c r="M126" s="5">
        <v>6</v>
      </c>
      <c r="N126" s="5" t="s">
        <v>76</v>
      </c>
      <c r="O126" s="5" t="s">
        <v>12</v>
      </c>
      <c r="P126" s="5"/>
    </row>
    <row r="127" spans="1:16" ht="14" customHeight="1">
      <c r="A127" s="6" t="s">
        <v>372</v>
      </c>
      <c r="B127" s="6" t="s">
        <v>12</v>
      </c>
      <c r="C127" s="6"/>
      <c r="D127" s="6" t="s">
        <v>145</v>
      </c>
      <c r="E127" s="6" t="s">
        <v>373</v>
      </c>
      <c r="F127" s="6" t="s">
        <v>333</v>
      </c>
      <c r="G127" s="11">
        <v>1</v>
      </c>
      <c r="H127" s="11">
        <v>52623</v>
      </c>
      <c r="I127" s="12">
        <v>52623</v>
      </c>
      <c r="J127" s="8">
        <f t="shared" si="6"/>
        <v>52623</v>
      </c>
      <c r="K127" s="8">
        <f t="shared" si="7"/>
        <v>0</v>
      </c>
      <c r="L127" s="6"/>
      <c r="M127" s="6">
        <v>6</v>
      </c>
      <c r="N127" s="6" t="s">
        <v>76</v>
      </c>
      <c r="O127" s="6" t="s">
        <v>12</v>
      </c>
      <c r="P127" s="6"/>
    </row>
    <row r="128" spans="1:16" ht="14" customHeight="1">
      <c r="A128" s="5" t="s">
        <v>374</v>
      </c>
      <c r="B128" s="5" t="s">
        <v>12</v>
      </c>
      <c r="C128" s="5"/>
      <c r="D128" s="5" t="s">
        <v>226</v>
      </c>
      <c r="E128" s="5" t="s">
        <v>375</v>
      </c>
      <c r="F128" s="5" t="s">
        <v>333</v>
      </c>
      <c r="G128" s="9">
        <v>1</v>
      </c>
      <c r="H128" s="9">
        <v>118000</v>
      </c>
      <c r="I128" s="10">
        <v>118000</v>
      </c>
      <c r="J128" s="7">
        <f t="shared" si="6"/>
        <v>118000</v>
      </c>
      <c r="K128" s="7">
        <f t="shared" si="7"/>
        <v>0</v>
      </c>
      <c r="L128" s="5"/>
      <c r="M128" s="5">
        <v>6</v>
      </c>
      <c r="N128" s="5" t="s">
        <v>76</v>
      </c>
      <c r="O128" s="5" t="s">
        <v>12</v>
      </c>
      <c r="P128" s="5"/>
    </row>
    <row r="129" spans="1:16" ht="14" customHeight="1">
      <c r="A129" s="6" t="s">
        <v>376</v>
      </c>
      <c r="B129" s="6" t="s">
        <v>12</v>
      </c>
      <c r="C129" s="6"/>
      <c r="D129" s="6" t="s">
        <v>229</v>
      </c>
      <c r="E129" s="6" t="s">
        <v>377</v>
      </c>
      <c r="F129" s="6" t="s">
        <v>333</v>
      </c>
      <c r="G129" s="11">
        <v>1</v>
      </c>
      <c r="H129" s="11">
        <v>128000</v>
      </c>
      <c r="I129" s="12">
        <v>128000</v>
      </c>
      <c r="J129" s="8">
        <f t="shared" si="6"/>
        <v>128000</v>
      </c>
      <c r="K129" s="8">
        <f t="shared" si="7"/>
        <v>0</v>
      </c>
      <c r="L129" s="6"/>
      <c r="M129" s="6">
        <v>6</v>
      </c>
      <c r="N129" s="6" t="s">
        <v>76</v>
      </c>
      <c r="O129" s="6" t="s">
        <v>12</v>
      </c>
      <c r="P129" s="6"/>
    </row>
    <row r="130" spans="1:16" ht="14" customHeight="1">
      <c r="A130" s="5" t="s">
        <v>378</v>
      </c>
      <c r="B130" s="5" t="s">
        <v>12</v>
      </c>
      <c r="C130" s="5"/>
      <c r="D130" s="5" t="s">
        <v>232</v>
      </c>
      <c r="E130" s="5" t="s">
        <v>379</v>
      </c>
      <c r="F130" s="5" t="s">
        <v>333</v>
      </c>
      <c r="G130" s="9">
        <v>1</v>
      </c>
      <c r="H130" s="9">
        <v>139000</v>
      </c>
      <c r="I130" s="10">
        <v>139000</v>
      </c>
      <c r="J130" s="7">
        <f t="shared" si="6"/>
        <v>139000</v>
      </c>
      <c r="K130" s="7">
        <f t="shared" si="7"/>
        <v>0</v>
      </c>
      <c r="L130" s="5"/>
      <c r="M130" s="5">
        <v>6</v>
      </c>
      <c r="N130" s="5" t="s">
        <v>76</v>
      </c>
      <c r="O130" s="5" t="s">
        <v>12</v>
      </c>
      <c r="P130" s="5"/>
    </row>
    <row r="131" spans="1:16" ht="14" customHeight="1">
      <c r="A131" s="6" t="s">
        <v>380</v>
      </c>
      <c r="B131" s="6" t="s">
        <v>12</v>
      </c>
      <c r="C131" s="6"/>
      <c r="D131" s="6" t="s">
        <v>235</v>
      </c>
      <c r="E131" s="6" t="s">
        <v>381</v>
      </c>
      <c r="F131" s="6" t="s">
        <v>333</v>
      </c>
      <c r="G131" s="11">
        <v>2</v>
      </c>
      <c r="H131" s="11">
        <v>265000</v>
      </c>
      <c r="I131" s="12">
        <v>530000</v>
      </c>
      <c r="J131" s="8">
        <f t="shared" si="6"/>
        <v>530000</v>
      </c>
      <c r="K131" s="8">
        <f t="shared" si="7"/>
        <v>0</v>
      </c>
      <c r="L131" s="6"/>
      <c r="M131" s="6">
        <v>6</v>
      </c>
      <c r="N131" s="6" t="s">
        <v>76</v>
      </c>
      <c r="O131" s="6" t="s">
        <v>12</v>
      </c>
      <c r="P131" s="6"/>
    </row>
    <row r="132" spans="1:16" ht="14" customHeight="1">
      <c r="A132" s="5" t="s">
        <v>382</v>
      </c>
      <c r="B132" s="5" t="s">
        <v>12</v>
      </c>
      <c r="C132" s="5"/>
      <c r="D132" s="5" t="s">
        <v>239</v>
      </c>
      <c r="E132" s="5" t="s">
        <v>383</v>
      </c>
      <c r="F132" s="5" t="s">
        <v>333</v>
      </c>
      <c r="G132" s="9">
        <v>1</v>
      </c>
      <c r="H132" s="9">
        <v>260000</v>
      </c>
      <c r="I132" s="10">
        <v>260000</v>
      </c>
      <c r="J132" s="7">
        <f t="shared" si="6"/>
        <v>260000</v>
      </c>
      <c r="K132" s="7">
        <f t="shared" si="7"/>
        <v>0</v>
      </c>
      <c r="L132" s="5"/>
      <c r="M132" s="5">
        <v>6</v>
      </c>
      <c r="N132" s="5" t="s">
        <v>76</v>
      </c>
      <c r="O132" s="5" t="s">
        <v>12</v>
      </c>
      <c r="P132" s="5"/>
    </row>
    <row r="133" spans="1:16" ht="14" customHeight="1">
      <c r="A133" s="6" t="s">
        <v>384</v>
      </c>
      <c r="B133" s="6" t="s">
        <v>12</v>
      </c>
      <c r="C133" s="6"/>
      <c r="D133" s="6" t="s">
        <v>242</v>
      </c>
      <c r="E133" s="6" t="s">
        <v>385</v>
      </c>
      <c r="F133" s="6" t="s">
        <v>333</v>
      </c>
      <c r="G133" s="11">
        <v>27</v>
      </c>
      <c r="H133" s="11">
        <v>14762</v>
      </c>
      <c r="I133" s="12">
        <v>398574</v>
      </c>
      <c r="J133" s="8">
        <f t="shared" si="6"/>
        <v>398574</v>
      </c>
      <c r="K133" s="8">
        <f t="shared" si="7"/>
        <v>0</v>
      </c>
      <c r="L133" s="6" t="s">
        <v>386</v>
      </c>
      <c r="M133" s="6">
        <v>6</v>
      </c>
      <c r="N133" s="6" t="s">
        <v>76</v>
      </c>
      <c r="O133" s="6" t="s">
        <v>12</v>
      </c>
      <c r="P133" s="6"/>
    </row>
    <row r="134" spans="1:16" ht="14" customHeight="1">
      <c r="A134" s="5" t="s">
        <v>387</v>
      </c>
      <c r="B134" s="5" t="s">
        <v>12</v>
      </c>
      <c r="C134" s="5"/>
      <c r="D134" s="5" t="s">
        <v>388</v>
      </c>
      <c r="E134" s="5" t="s">
        <v>389</v>
      </c>
      <c r="F134" s="5" t="s">
        <v>333</v>
      </c>
      <c r="G134" s="9">
        <v>1</v>
      </c>
      <c r="H134" s="9">
        <v>24904</v>
      </c>
      <c r="I134" s="10">
        <v>24904</v>
      </c>
      <c r="J134" s="7">
        <f t="shared" ref="J134:J165" si="8">IF(OR(G134="",H134=""),"",ROUND(G134*H134,0))</f>
        <v>24904</v>
      </c>
      <c r="K134" s="7">
        <f t="shared" ref="K134:K165" si="9">IF(OR(I134="",J134=""),"",I134-J134)</f>
        <v>0</v>
      </c>
      <c r="L134" s="5" t="s">
        <v>386</v>
      </c>
      <c r="M134" s="5">
        <v>6</v>
      </c>
      <c r="N134" s="5" t="s">
        <v>76</v>
      </c>
      <c r="O134" s="5" t="s">
        <v>12</v>
      </c>
      <c r="P134" s="5"/>
    </row>
    <row r="135" spans="1:16" ht="14" customHeight="1">
      <c r="A135" s="6" t="s">
        <v>390</v>
      </c>
      <c r="B135" s="6" t="s">
        <v>12</v>
      </c>
      <c r="C135" s="6"/>
      <c r="D135" s="6" t="s">
        <v>391</v>
      </c>
      <c r="E135" s="6" t="s">
        <v>392</v>
      </c>
      <c r="F135" s="6" t="s">
        <v>333</v>
      </c>
      <c r="G135" s="11">
        <v>2</v>
      </c>
      <c r="H135" s="11">
        <v>26136</v>
      </c>
      <c r="I135" s="12">
        <v>52272</v>
      </c>
      <c r="J135" s="8">
        <f t="shared" si="8"/>
        <v>52272</v>
      </c>
      <c r="K135" s="8">
        <f t="shared" si="9"/>
        <v>0</v>
      </c>
      <c r="L135" s="6" t="s">
        <v>386</v>
      </c>
      <c r="M135" s="6">
        <v>6</v>
      </c>
      <c r="N135" s="6" t="s">
        <v>76</v>
      </c>
      <c r="O135" s="6" t="s">
        <v>12</v>
      </c>
      <c r="P135" s="6"/>
    </row>
    <row r="136" spans="1:16" ht="14" customHeight="1">
      <c r="A136" s="5" t="s">
        <v>393</v>
      </c>
      <c r="B136" s="5" t="s">
        <v>12</v>
      </c>
      <c r="C136" s="5"/>
      <c r="D136" s="5" t="s">
        <v>394</v>
      </c>
      <c r="E136" s="5" t="s">
        <v>395</v>
      </c>
      <c r="F136" s="5" t="s">
        <v>333</v>
      </c>
      <c r="G136" s="9">
        <v>4</v>
      </c>
      <c r="H136" s="9">
        <v>46883</v>
      </c>
      <c r="I136" s="10">
        <v>187532</v>
      </c>
      <c r="J136" s="7">
        <f t="shared" si="8"/>
        <v>187532</v>
      </c>
      <c r="K136" s="7">
        <f t="shared" si="9"/>
        <v>0</v>
      </c>
      <c r="L136" s="5" t="s">
        <v>386</v>
      </c>
      <c r="M136" s="5">
        <v>6</v>
      </c>
      <c r="N136" s="5" t="s">
        <v>76</v>
      </c>
      <c r="O136" s="5" t="s">
        <v>12</v>
      </c>
      <c r="P136" s="5"/>
    </row>
    <row r="137" spans="1:16" ht="14" customHeight="1">
      <c r="A137" s="6" t="s">
        <v>396</v>
      </c>
      <c r="B137" s="6" t="s">
        <v>12</v>
      </c>
      <c r="C137" s="6"/>
      <c r="D137" s="6" t="s">
        <v>397</v>
      </c>
      <c r="E137" s="6" t="s">
        <v>398</v>
      </c>
      <c r="F137" s="6" t="s">
        <v>333</v>
      </c>
      <c r="G137" s="11">
        <v>5</v>
      </c>
      <c r="H137" s="11">
        <v>43279</v>
      </c>
      <c r="I137" s="12">
        <v>216395</v>
      </c>
      <c r="J137" s="8">
        <f t="shared" si="8"/>
        <v>216395</v>
      </c>
      <c r="K137" s="8">
        <f t="shared" si="9"/>
        <v>0</v>
      </c>
      <c r="L137" s="6" t="s">
        <v>386</v>
      </c>
      <c r="M137" s="6">
        <v>6</v>
      </c>
      <c r="N137" s="6" t="s">
        <v>76</v>
      </c>
      <c r="O137" s="6" t="s">
        <v>12</v>
      </c>
      <c r="P137" s="6"/>
    </row>
    <row r="138" spans="1:16" ht="14" customHeight="1">
      <c r="A138" s="5" t="s">
        <v>399</v>
      </c>
      <c r="B138" s="5" t="s">
        <v>12</v>
      </c>
      <c r="C138" s="5"/>
      <c r="D138" s="5" t="s">
        <v>400</v>
      </c>
      <c r="E138" s="5" t="s">
        <v>401</v>
      </c>
      <c r="F138" s="5" t="s">
        <v>333</v>
      </c>
      <c r="G138" s="9">
        <v>2</v>
      </c>
      <c r="H138" s="9">
        <v>7080</v>
      </c>
      <c r="I138" s="10">
        <v>14160</v>
      </c>
      <c r="J138" s="7">
        <f t="shared" si="8"/>
        <v>14160</v>
      </c>
      <c r="K138" s="7">
        <f t="shared" si="9"/>
        <v>0</v>
      </c>
      <c r="L138" s="5" t="s">
        <v>386</v>
      </c>
      <c r="M138" s="5">
        <v>6</v>
      </c>
      <c r="N138" s="5" t="s">
        <v>76</v>
      </c>
      <c r="O138" s="5" t="s">
        <v>12</v>
      </c>
      <c r="P138" s="5"/>
    </row>
    <row r="139" spans="1:16" ht="14" customHeight="1">
      <c r="A139" s="6" t="s">
        <v>402</v>
      </c>
      <c r="B139" s="6" t="s">
        <v>12</v>
      </c>
      <c r="C139" s="6"/>
      <c r="D139" s="6" t="s">
        <v>403</v>
      </c>
      <c r="E139" s="6" t="s">
        <v>404</v>
      </c>
      <c r="F139" s="6" t="s">
        <v>333</v>
      </c>
      <c r="G139" s="11">
        <v>1</v>
      </c>
      <c r="H139" s="11">
        <v>12690</v>
      </c>
      <c r="I139" s="12">
        <v>12690</v>
      </c>
      <c r="J139" s="8">
        <f t="shared" si="8"/>
        <v>12690</v>
      </c>
      <c r="K139" s="8">
        <f t="shared" si="9"/>
        <v>0</v>
      </c>
      <c r="L139" s="6" t="s">
        <v>386</v>
      </c>
      <c r="M139" s="6">
        <v>6</v>
      </c>
      <c r="N139" s="6" t="s">
        <v>76</v>
      </c>
      <c r="O139" s="6" t="s">
        <v>12</v>
      </c>
      <c r="P139" s="6"/>
    </row>
    <row r="140" spans="1:16" ht="14" customHeight="1">
      <c r="A140" s="5" t="s">
        <v>405</v>
      </c>
      <c r="B140" s="5" t="s">
        <v>12</v>
      </c>
      <c r="C140" s="5"/>
      <c r="D140" s="5" t="s">
        <v>406</v>
      </c>
      <c r="E140" s="5" t="s">
        <v>407</v>
      </c>
      <c r="F140" s="5" t="s">
        <v>333</v>
      </c>
      <c r="G140" s="9">
        <v>6</v>
      </c>
      <c r="H140" s="9">
        <v>23853</v>
      </c>
      <c r="I140" s="10">
        <v>143118</v>
      </c>
      <c r="J140" s="7">
        <f t="shared" si="8"/>
        <v>143118</v>
      </c>
      <c r="K140" s="7">
        <f t="shared" si="9"/>
        <v>0</v>
      </c>
      <c r="L140" s="5" t="s">
        <v>386</v>
      </c>
      <c r="M140" s="5">
        <v>6</v>
      </c>
      <c r="N140" s="5" t="s">
        <v>76</v>
      </c>
      <c r="O140" s="5" t="s">
        <v>12</v>
      </c>
      <c r="P140" s="5"/>
    </row>
    <row r="141" spans="1:16" ht="14" customHeight="1">
      <c r="A141" s="6" t="s">
        <v>408</v>
      </c>
      <c r="B141" s="6" t="s">
        <v>12</v>
      </c>
      <c r="C141" s="6"/>
      <c r="D141" s="6" t="s">
        <v>409</v>
      </c>
      <c r="E141" s="6" t="s">
        <v>410</v>
      </c>
      <c r="F141" s="6" t="s">
        <v>333</v>
      </c>
      <c r="G141" s="11">
        <v>1</v>
      </c>
      <c r="H141" s="11">
        <v>40107</v>
      </c>
      <c r="I141" s="12">
        <v>40107</v>
      </c>
      <c r="J141" s="8">
        <f t="shared" si="8"/>
        <v>40107</v>
      </c>
      <c r="K141" s="8">
        <f t="shared" si="9"/>
        <v>0</v>
      </c>
      <c r="L141" s="6" t="s">
        <v>386</v>
      </c>
      <c r="M141" s="6">
        <v>6</v>
      </c>
      <c r="N141" s="6" t="s">
        <v>76</v>
      </c>
      <c r="O141" s="6" t="s">
        <v>12</v>
      </c>
      <c r="P141" s="6"/>
    </row>
    <row r="142" spans="1:16" ht="14" customHeight="1">
      <c r="A142" s="5" t="s">
        <v>411</v>
      </c>
      <c r="B142" s="5" t="s">
        <v>12</v>
      </c>
      <c r="C142" s="5"/>
      <c r="D142" s="5" t="s">
        <v>412</v>
      </c>
      <c r="E142" s="5" t="s">
        <v>413</v>
      </c>
      <c r="F142" s="5" t="s">
        <v>333</v>
      </c>
      <c r="G142" s="9">
        <v>1</v>
      </c>
      <c r="H142" s="9">
        <v>159502</v>
      </c>
      <c r="I142" s="10">
        <v>159502</v>
      </c>
      <c r="J142" s="7">
        <f t="shared" si="8"/>
        <v>159502</v>
      </c>
      <c r="K142" s="7">
        <f t="shared" si="9"/>
        <v>0</v>
      </c>
      <c r="L142" s="5" t="s">
        <v>386</v>
      </c>
      <c r="M142" s="5">
        <v>6</v>
      </c>
      <c r="N142" s="5" t="s">
        <v>76</v>
      </c>
      <c r="O142" s="5" t="s">
        <v>12</v>
      </c>
      <c r="P142" s="5"/>
    </row>
    <row r="143" spans="1:16" ht="14" customHeight="1">
      <c r="A143" s="6" t="s">
        <v>414</v>
      </c>
      <c r="B143" s="6" t="s">
        <v>12</v>
      </c>
      <c r="C143" s="6"/>
      <c r="D143" s="6" t="s">
        <v>415</v>
      </c>
      <c r="E143" s="6" t="s">
        <v>416</v>
      </c>
      <c r="F143" s="6" t="s">
        <v>333</v>
      </c>
      <c r="G143" s="11">
        <v>2</v>
      </c>
      <c r="H143" s="11">
        <v>404147</v>
      </c>
      <c r="I143" s="12">
        <v>808294</v>
      </c>
      <c r="J143" s="8">
        <f t="shared" si="8"/>
        <v>808294</v>
      </c>
      <c r="K143" s="8">
        <f t="shared" si="9"/>
        <v>0</v>
      </c>
      <c r="L143" s="6" t="s">
        <v>386</v>
      </c>
      <c r="M143" s="6">
        <v>6</v>
      </c>
      <c r="N143" s="6" t="s">
        <v>76</v>
      </c>
      <c r="O143" s="6" t="s">
        <v>12</v>
      </c>
      <c r="P143" s="6"/>
    </row>
    <row r="144" spans="1:16" ht="14" customHeight="1">
      <c r="A144" s="5" t="s">
        <v>417</v>
      </c>
      <c r="B144" s="5" t="s">
        <v>12</v>
      </c>
      <c r="C144" s="5"/>
      <c r="D144" s="5" t="s">
        <v>418</v>
      </c>
      <c r="E144" s="5" t="s">
        <v>419</v>
      </c>
      <c r="F144" s="5" t="s">
        <v>333</v>
      </c>
      <c r="G144" s="9">
        <v>2</v>
      </c>
      <c r="H144" s="9">
        <v>143792</v>
      </c>
      <c r="I144" s="10">
        <v>287584</v>
      </c>
      <c r="J144" s="7">
        <f t="shared" si="8"/>
        <v>287584</v>
      </c>
      <c r="K144" s="7">
        <f t="shared" si="9"/>
        <v>0</v>
      </c>
      <c r="L144" s="5" t="s">
        <v>386</v>
      </c>
      <c r="M144" s="5">
        <v>6</v>
      </c>
      <c r="N144" s="5" t="s">
        <v>76</v>
      </c>
      <c r="O144" s="5" t="s">
        <v>12</v>
      </c>
      <c r="P144" s="5"/>
    </row>
    <row r="145" spans="1:16" ht="14" customHeight="1">
      <c r="A145" s="6" t="s">
        <v>420</v>
      </c>
      <c r="B145" s="6" t="s">
        <v>12</v>
      </c>
      <c r="C145" s="6"/>
      <c r="D145" s="6" t="s">
        <v>421</v>
      </c>
      <c r="E145" s="6" t="s">
        <v>422</v>
      </c>
      <c r="F145" s="6" t="s">
        <v>333</v>
      </c>
      <c r="G145" s="11">
        <v>1</v>
      </c>
      <c r="H145" s="11">
        <v>100764</v>
      </c>
      <c r="I145" s="12">
        <v>100764</v>
      </c>
      <c r="J145" s="8">
        <f t="shared" si="8"/>
        <v>100764</v>
      </c>
      <c r="K145" s="8">
        <f t="shared" si="9"/>
        <v>0</v>
      </c>
      <c r="L145" s="6" t="s">
        <v>386</v>
      </c>
      <c r="M145" s="6">
        <v>6</v>
      </c>
      <c r="N145" s="6" t="s">
        <v>76</v>
      </c>
      <c r="O145" s="6" t="s">
        <v>12</v>
      </c>
      <c r="P145" s="6"/>
    </row>
    <row r="146" spans="1:16" ht="14" customHeight="1">
      <c r="A146" s="5" t="s">
        <v>423</v>
      </c>
      <c r="B146" s="5" t="s">
        <v>12</v>
      </c>
      <c r="C146" s="5"/>
      <c r="D146" s="5" t="s">
        <v>424</v>
      </c>
      <c r="E146" s="5" t="s">
        <v>425</v>
      </c>
      <c r="F146" s="5" t="s">
        <v>333</v>
      </c>
      <c r="G146" s="9">
        <v>1</v>
      </c>
      <c r="H146" s="9">
        <v>86952</v>
      </c>
      <c r="I146" s="10">
        <v>86952</v>
      </c>
      <c r="J146" s="7">
        <f t="shared" si="8"/>
        <v>86952</v>
      </c>
      <c r="K146" s="7">
        <f t="shared" si="9"/>
        <v>0</v>
      </c>
      <c r="L146" s="5" t="s">
        <v>386</v>
      </c>
      <c r="M146" s="5">
        <v>6</v>
      </c>
      <c r="N146" s="5" t="s">
        <v>76</v>
      </c>
      <c r="O146" s="5" t="s">
        <v>12</v>
      </c>
      <c r="P146" s="5"/>
    </row>
    <row r="147" spans="1:16" ht="14" customHeight="1">
      <c r="A147" s="6" t="s">
        <v>426</v>
      </c>
      <c r="B147" s="6" t="s">
        <v>12</v>
      </c>
      <c r="C147" s="6"/>
      <c r="D147" s="6" t="s">
        <v>427</v>
      </c>
      <c r="E147" s="6" t="s">
        <v>428</v>
      </c>
      <c r="F147" s="6" t="s">
        <v>333</v>
      </c>
      <c r="G147" s="11">
        <v>1</v>
      </c>
      <c r="H147" s="11">
        <v>111132</v>
      </c>
      <c r="I147" s="12">
        <v>111132</v>
      </c>
      <c r="J147" s="8">
        <f t="shared" si="8"/>
        <v>111132</v>
      </c>
      <c r="K147" s="8">
        <f t="shared" si="9"/>
        <v>0</v>
      </c>
      <c r="L147" s="6" t="s">
        <v>386</v>
      </c>
      <c r="M147" s="6">
        <v>6</v>
      </c>
      <c r="N147" s="6" t="s">
        <v>76</v>
      </c>
      <c r="O147" s="6" t="s">
        <v>12</v>
      </c>
      <c r="P147" s="6"/>
    </row>
    <row r="148" spans="1:16" ht="14" customHeight="1">
      <c r="A148" s="5" t="s">
        <v>429</v>
      </c>
      <c r="B148" s="5" t="s">
        <v>12</v>
      </c>
      <c r="C148" s="5"/>
      <c r="D148" s="5" t="s">
        <v>430</v>
      </c>
      <c r="E148" s="5" t="s">
        <v>431</v>
      </c>
      <c r="F148" s="5" t="s">
        <v>333</v>
      </c>
      <c r="G148" s="9">
        <v>1</v>
      </c>
      <c r="H148" s="9">
        <v>193587</v>
      </c>
      <c r="I148" s="10">
        <v>193587</v>
      </c>
      <c r="J148" s="7">
        <f t="shared" si="8"/>
        <v>193587</v>
      </c>
      <c r="K148" s="7">
        <f t="shared" si="9"/>
        <v>0</v>
      </c>
      <c r="L148" s="5" t="s">
        <v>386</v>
      </c>
      <c r="M148" s="5">
        <v>6</v>
      </c>
      <c r="N148" s="5" t="s">
        <v>76</v>
      </c>
      <c r="O148" s="5" t="s">
        <v>12</v>
      </c>
      <c r="P148" s="5"/>
    </row>
    <row r="149" spans="1:16" ht="14" customHeight="1">
      <c r="A149" s="6" t="s">
        <v>432</v>
      </c>
      <c r="B149" s="6" t="s">
        <v>12</v>
      </c>
      <c r="C149" s="6"/>
      <c r="D149" s="6" t="s">
        <v>433</v>
      </c>
      <c r="E149" s="6" t="s">
        <v>434</v>
      </c>
      <c r="F149" s="6" t="s">
        <v>333</v>
      </c>
      <c r="G149" s="11">
        <v>6</v>
      </c>
      <c r="H149" s="11">
        <v>11880</v>
      </c>
      <c r="I149" s="12">
        <v>71280</v>
      </c>
      <c r="J149" s="8">
        <f t="shared" si="8"/>
        <v>71280</v>
      </c>
      <c r="K149" s="8">
        <f t="shared" si="9"/>
        <v>0</v>
      </c>
      <c r="L149" s="6" t="s">
        <v>386</v>
      </c>
      <c r="M149" s="6">
        <v>7</v>
      </c>
      <c r="N149" s="6" t="s">
        <v>76</v>
      </c>
      <c r="O149" s="6" t="s">
        <v>12</v>
      </c>
      <c r="P149" s="6"/>
    </row>
    <row r="150" spans="1:16" ht="14" customHeight="1">
      <c r="A150" s="5" t="s">
        <v>435</v>
      </c>
      <c r="B150" s="5" t="s">
        <v>12</v>
      </c>
      <c r="C150" s="5"/>
      <c r="D150" s="5" t="s">
        <v>436</v>
      </c>
      <c r="E150" s="5" t="s">
        <v>437</v>
      </c>
      <c r="F150" s="5" t="s">
        <v>333</v>
      </c>
      <c r="G150" s="9">
        <v>2</v>
      </c>
      <c r="H150" s="9">
        <v>43463</v>
      </c>
      <c r="I150" s="10">
        <v>86926</v>
      </c>
      <c r="J150" s="7">
        <f t="shared" si="8"/>
        <v>86926</v>
      </c>
      <c r="K150" s="7">
        <f t="shared" si="9"/>
        <v>0</v>
      </c>
      <c r="L150" s="5" t="s">
        <v>386</v>
      </c>
      <c r="M150" s="5">
        <v>7</v>
      </c>
      <c r="N150" s="5" t="s">
        <v>76</v>
      </c>
      <c r="O150" s="5" t="s">
        <v>12</v>
      </c>
      <c r="P150" s="5"/>
    </row>
    <row r="151" spans="1:16" ht="14" customHeight="1">
      <c r="A151" s="6" t="s">
        <v>438</v>
      </c>
      <c r="B151" s="6" t="s">
        <v>12</v>
      </c>
      <c r="C151" s="6"/>
      <c r="D151" s="6" t="s">
        <v>439</v>
      </c>
      <c r="E151" s="6" t="s">
        <v>440</v>
      </c>
      <c r="F151" s="6" t="s">
        <v>333</v>
      </c>
      <c r="G151" s="11">
        <v>5</v>
      </c>
      <c r="H151" s="11">
        <v>43463</v>
      </c>
      <c r="I151" s="12">
        <v>217315</v>
      </c>
      <c r="J151" s="8">
        <f t="shared" si="8"/>
        <v>217315</v>
      </c>
      <c r="K151" s="8">
        <f t="shared" si="9"/>
        <v>0</v>
      </c>
      <c r="L151" s="6" t="s">
        <v>386</v>
      </c>
      <c r="M151" s="6">
        <v>7</v>
      </c>
      <c r="N151" s="6" t="s">
        <v>76</v>
      </c>
      <c r="O151" s="6" t="s">
        <v>12</v>
      </c>
      <c r="P151" s="6"/>
    </row>
    <row r="152" spans="1:16" ht="14" customHeight="1">
      <c r="A152" s="5" t="s">
        <v>441</v>
      </c>
      <c r="B152" s="5" t="s">
        <v>12</v>
      </c>
      <c r="C152" s="5" t="s">
        <v>49</v>
      </c>
      <c r="D152" s="5" t="s">
        <v>73</v>
      </c>
      <c r="E152" s="5" t="s">
        <v>442</v>
      </c>
      <c r="F152" s="5" t="s">
        <v>443</v>
      </c>
      <c r="G152" s="9">
        <v>3952.06</v>
      </c>
      <c r="H152" s="9">
        <v>150</v>
      </c>
      <c r="I152" s="10">
        <v>592809</v>
      </c>
      <c r="J152" s="7">
        <f t="shared" si="8"/>
        <v>592809</v>
      </c>
      <c r="K152" s="7">
        <f t="shared" si="9"/>
        <v>0</v>
      </c>
      <c r="L152" s="5"/>
      <c r="M152" s="5">
        <v>7</v>
      </c>
      <c r="N152" s="5" t="s">
        <v>76</v>
      </c>
      <c r="O152" s="5" t="s">
        <v>12</v>
      </c>
      <c r="P152" s="5"/>
    </row>
    <row r="153" spans="1:16" ht="14" customHeight="1">
      <c r="A153" s="6" t="s">
        <v>444</v>
      </c>
      <c r="B153" s="6" t="s">
        <v>12</v>
      </c>
      <c r="C153" s="6" t="s">
        <v>50</v>
      </c>
      <c r="D153" s="6" t="s">
        <v>73</v>
      </c>
      <c r="E153" s="6" t="s">
        <v>445</v>
      </c>
      <c r="F153" s="6" t="s">
        <v>80</v>
      </c>
      <c r="G153" s="11">
        <v>107.5</v>
      </c>
      <c r="H153" s="11">
        <v>250</v>
      </c>
      <c r="I153" s="12">
        <v>26875</v>
      </c>
      <c r="J153" s="8">
        <f t="shared" si="8"/>
        <v>26875</v>
      </c>
      <c r="K153" s="8">
        <f t="shared" si="9"/>
        <v>0</v>
      </c>
      <c r="L153" s="6"/>
      <c r="M153" s="6">
        <v>7</v>
      </c>
      <c r="N153" s="6" t="s">
        <v>76</v>
      </c>
      <c r="O153" s="6" t="s">
        <v>12</v>
      </c>
      <c r="P153" s="6"/>
    </row>
    <row r="154" spans="1:16" ht="14" customHeight="1">
      <c r="A154" s="5" t="s">
        <v>446</v>
      </c>
      <c r="B154" s="5" t="s">
        <v>12</v>
      </c>
      <c r="C154" s="5" t="s">
        <v>50</v>
      </c>
      <c r="D154" s="5" t="s">
        <v>78</v>
      </c>
      <c r="E154" s="5" t="s">
        <v>447</v>
      </c>
      <c r="F154" s="5" t="s">
        <v>80</v>
      </c>
      <c r="G154" s="9">
        <v>178.8</v>
      </c>
      <c r="H154" s="9">
        <v>250</v>
      </c>
      <c r="I154" s="10">
        <v>44700</v>
      </c>
      <c r="J154" s="7">
        <f t="shared" si="8"/>
        <v>44700</v>
      </c>
      <c r="K154" s="7">
        <f t="shared" si="9"/>
        <v>0</v>
      </c>
      <c r="L154" s="5"/>
      <c r="M154" s="5">
        <v>7</v>
      </c>
      <c r="N154" s="5" t="s">
        <v>76</v>
      </c>
      <c r="O154" s="5" t="s">
        <v>12</v>
      </c>
      <c r="P154" s="5"/>
    </row>
    <row r="155" spans="1:16" ht="14" customHeight="1">
      <c r="A155" s="6" t="s">
        <v>448</v>
      </c>
      <c r="B155" s="6" t="s">
        <v>12</v>
      </c>
      <c r="C155" s="6" t="s">
        <v>50</v>
      </c>
      <c r="D155" s="6" t="s">
        <v>82</v>
      </c>
      <c r="E155" s="6" t="s">
        <v>449</v>
      </c>
      <c r="F155" s="6" t="s">
        <v>80</v>
      </c>
      <c r="G155" s="11">
        <v>239.2</v>
      </c>
      <c r="H155" s="11">
        <v>250</v>
      </c>
      <c r="I155" s="12">
        <v>59800</v>
      </c>
      <c r="J155" s="8">
        <f t="shared" si="8"/>
        <v>59800</v>
      </c>
      <c r="K155" s="8">
        <f t="shared" si="9"/>
        <v>0</v>
      </c>
      <c r="L155" s="6"/>
      <c r="M155" s="6">
        <v>7</v>
      </c>
      <c r="N155" s="6" t="s">
        <v>76</v>
      </c>
      <c r="O155" s="6" t="s">
        <v>12</v>
      </c>
      <c r="P155" s="6"/>
    </row>
    <row r="156" spans="1:16" ht="14" customHeight="1">
      <c r="A156" s="5" t="s">
        <v>450</v>
      </c>
      <c r="B156" s="5" t="s">
        <v>12</v>
      </c>
      <c r="C156" s="5" t="s">
        <v>50</v>
      </c>
      <c r="D156" s="5" t="s">
        <v>86</v>
      </c>
      <c r="E156" s="5" t="s">
        <v>451</v>
      </c>
      <c r="F156" s="5" t="s">
        <v>80</v>
      </c>
      <c r="G156" s="9">
        <v>115</v>
      </c>
      <c r="H156" s="9">
        <v>250</v>
      </c>
      <c r="I156" s="10">
        <v>28750</v>
      </c>
      <c r="J156" s="7">
        <f t="shared" si="8"/>
        <v>28750</v>
      </c>
      <c r="K156" s="7">
        <f t="shared" si="9"/>
        <v>0</v>
      </c>
      <c r="L156" s="5"/>
      <c r="M156" s="5">
        <v>7</v>
      </c>
      <c r="N156" s="5" t="s">
        <v>76</v>
      </c>
      <c r="O156" s="5" t="s">
        <v>12</v>
      </c>
      <c r="P156" s="5"/>
    </row>
    <row r="157" spans="1:16" ht="14" customHeight="1">
      <c r="A157" s="6" t="s">
        <v>452</v>
      </c>
      <c r="B157" s="6" t="s">
        <v>12</v>
      </c>
      <c r="C157" s="6" t="s">
        <v>50</v>
      </c>
      <c r="D157" s="6" t="s">
        <v>89</v>
      </c>
      <c r="E157" s="6" t="s">
        <v>453</v>
      </c>
      <c r="F157" s="6" t="s">
        <v>80</v>
      </c>
      <c r="G157" s="11">
        <v>2580.8000000000002</v>
      </c>
      <c r="H157" s="11">
        <v>250</v>
      </c>
      <c r="I157" s="12">
        <v>645200</v>
      </c>
      <c r="J157" s="8">
        <f t="shared" si="8"/>
        <v>645200</v>
      </c>
      <c r="K157" s="8">
        <f t="shared" si="9"/>
        <v>0</v>
      </c>
      <c r="L157" s="6"/>
      <c r="M157" s="6">
        <v>7</v>
      </c>
      <c r="N157" s="6" t="s">
        <v>76</v>
      </c>
      <c r="O157" s="6" t="s">
        <v>12</v>
      </c>
      <c r="P157" s="6"/>
    </row>
    <row r="158" spans="1:16" ht="14" customHeight="1">
      <c r="A158" s="5" t="s">
        <v>454</v>
      </c>
      <c r="B158" s="5" t="s">
        <v>12</v>
      </c>
      <c r="C158" s="5" t="s">
        <v>50</v>
      </c>
      <c r="D158" s="5" t="s">
        <v>92</v>
      </c>
      <c r="E158" s="5" t="s">
        <v>455</v>
      </c>
      <c r="F158" s="5" t="s">
        <v>333</v>
      </c>
      <c r="G158" s="9">
        <v>6</v>
      </c>
      <c r="H158" s="9">
        <v>6000</v>
      </c>
      <c r="I158" s="10">
        <v>36000</v>
      </c>
      <c r="J158" s="7">
        <f t="shared" si="8"/>
        <v>36000</v>
      </c>
      <c r="K158" s="7">
        <f t="shared" si="9"/>
        <v>0</v>
      </c>
      <c r="L158" s="5"/>
      <c r="M158" s="5">
        <v>7</v>
      </c>
      <c r="N158" s="5" t="s">
        <v>76</v>
      </c>
      <c r="O158" s="5" t="s">
        <v>12</v>
      </c>
      <c r="P158" s="5"/>
    </row>
    <row r="159" spans="1:16" ht="14" customHeight="1">
      <c r="A159" s="6" t="s">
        <v>456</v>
      </c>
      <c r="B159" s="6" t="s">
        <v>12</v>
      </c>
      <c r="C159" s="6" t="s">
        <v>51</v>
      </c>
      <c r="D159" s="6" t="s">
        <v>73</v>
      </c>
      <c r="E159" s="6" t="s">
        <v>457</v>
      </c>
      <c r="F159" s="6" t="s">
        <v>80</v>
      </c>
      <c r="G159" s="11">
        <v>178.8</v>
      </c>
      <c r="H159" s="11">
        <v>120</v>
      </c>
      <c r="I159" s="12">
        <v>21456</v>
      </c>
      <c r="J159" s="8">
        <f t="shared" si="8"/>
        <v>21456</v>
      </c>
      <c r="K159" s="8">
        <f t="shared" si="9"/>
        <v>0</v>
      </c>
      <c r="L159" s="6"/>
      <c r="M159" s="6">
        <v>7</v>
      </c>
      <c r="N159" s="6" t="s">
        <v>76</v>
      </c>
      <c r="O159" s="6" t="s">
        <v>12</v>
      </c>
      <c r="P159" s="6"/>
    </row>
    <row r="160" spans="1:16" ht="14" customHeight="1">
      <c r="A160" s="5" t="s">
        <v>458</v>
      </c>
      <c r="B160" s="5" t="s">
        <v>12</v>
      </c>
      <c r="C160" s="5" t="s">
        <v>51</v>
      </c>
      <c r="D160" s="5" t="s">
        <v>78</v>
      </c>
      <c r="E160" s="5" t="s">
        <v>459</v>
      </c>
      <c r="F160" s="5" t="s">
        <v>80</v>
      </c>
      <c r="G160" s="9">
        <v>239.2</v>
      </c>
      <c r="H160" s="9">
        <v>70</v>
      </c>
      <c r="I160" s="10">
        <v>16744</v>
      </c>
      <c r="J160" s="7">
        <f t="shared" si="8"/>
        <v>16744</v>
      </c>
      <c r="K160" s="7">
        <f t="shared" si="9"/>
        <v>0</v>
      </c>
      <c r="L160" s="5"/>
      <c r="M160" s="5">
        <v>7</v>
      </c>
      <c r="N160" s="5" t="s">
        <v>76</v>
      </c>
      <c r="O160" s="5" t="s">
        <v>12</v>
      </c>
      <c r="P160" s="5"/>
    </row>
    <row r="161" spans="1:16" ht="14" customHeight="1">
      <c r="A161" s="6" t="s">
        <v>460</v>
      </c>
      <c r="B161" s="6" t="s">
        <v>12</v>
      </c>
      <c r="C161" s="6" t="s">
        <v>51</v>
      </c>
      <c r="D161" s="6" t="s">
        <v>82</v>
      </c>
      <c r="E161" s="6" t="s">
        <v>461</v>
      </c>
      <c r="F161" s="6" t="s">
        <v>80</v>
      </c>
      <c r="G161" s="11">
        <v>115</v>
      </c>
      <c r="H161" s="11">
        <v>70</v>
      </c>
      <c r="I161" s="12">
        <v>8050</v>
      </c>
      <c r="J161" s="8">
        <f t="shared" si="8"/>
        <v>8050</v>
      </c>
      <c r="K161" s="8">
        <f t="shared" si="9"/>
        <v>0</v>
      </c>
      <c r="L161" s="6"/>
      <c r="M161" s="6">
        <v>7</v>
      </c>
      <c r="N161" s="6" t="s">
        <v>76</v>
      </c>
      <c r="O161" s="6" t="s">
        <v>12</v>
      </c>
      <c r="P161" s="6"/>
    </row>
    <row r="162" spans="1:16" ht="14" customHeight="1">
      <c r="A162" s="5" t="s">
        <v>462</v>
      </c>
      <c r="B162" s="5" t="s">
        <v>12</v>
      </c>
      <c r="C162" s="5" t="s">
        <v>51</v>
      </c>
      <c r="D162" s="5" t="s">
        <v>86</v>
      </c>
      <c r="E162" s="5" t="s">
        <v>463</v>
      </c>
      <c r="F162" s="5" t="s">
        <v>80</v>
      </c>
      <c r="G162" s="9">
        <v>2580.8000000000002</v>
      </c>
      <c r="H162" s="9">
        <v>70</v>
      </c>
      <c r="I162" s="10">
        <v>180656</v>
      </c>
      <c r="J162" s="7">
        <f t="shared" si="8"/>
        <v>180656</v>
      </c>
      <c r="K162" s="7">
        <f t="shared" si="9"/>
        <v>0</v>
      </c>
      <c r="L162" s="5"/>
      <c r="M162" s="5">
        <v>7</v>
      </c>
      <c r="N162" s="5" t="s">
        <v>76</v>
      </c>
      <c r="O162" s="5" t="s">
        <v>12</v>
      </c>
      <c r="P162" s="5"/>
    </row>
    <row r="163" spans="1:16" ht="14" customHeight="1">
      <c r="A163" s="6" t="s">
        <v>464</v>
      </c>
      <c r="B163" s="6" t="s">
        <v>13</v>
      </c>
      <c r="C163" s="6"/>
      <c r="D163" s="6" t="s">
        <v>73</v>
      </c>
      <c r="E163" s="6" t="s">
        <v>465</v>
      </c>
      <c r="F163" s="6" t="s">
        <v>84</v>
      </c>
      <c r="G163" s="11">
        <v>1</v>
      </c>
      <c r="H163" s="11">
        <v>938000</v>
      </c>
      <c r="I163" s="12">
        <v>938000</v>
      </c>
      <c r="J163" s="8">
        <f t="shared" si="8"/>
        <v>938000</v>
      </c>
      <c r="K163" s="8">
        <f t="shared" si="9"/>
        <v>0</v>
      </c>
      <c r="L163" s="6" t="s">
        <v>466</v>
      </c>
      <c r="M163" s="6">
        <v>7</v>
      </c>
      <c r="N163" s="6" t="s">
        <v>76</v>
      </c>
      <c r="O163" s="6" t="s">
        <v>467</v>
      </c>
      <c r="P163" s="6"/>
    </row>
    <row r="164" spans="1:16" ht="14" customHeight="1">
      <c r="A164" s="5" t="s">
        <v>468</v>
      </c>
      <c r="B164" s="5" t="s">
        <v>13</v>
      </c>
      <c r="C164" s="5"/>
      <c r="D164" s="5" t="s">
        <v>78</v>
      </c>
      <c r="E164" s="5" t="s">
        <v>469</v>
      </c>
      <c r="F164" s="5" t="s">
        <v>84</v>
      </c>
      <c r="G164" s="9">
        <v>1</v>
      </c>
      <c r="H164" s="9">
        <v>2580000</v>
      </c>
      <c r="I164" s="10">
        <v>2580000</v>
      </c>
      <c r="J164" s="7">
        <f t="shared" si="8"/>
        <v>2580000</v>
      </c>
      <c r="K164" s="7">
        <f t="shared" si="9"/>
        <v>0</v>
      </c>
      <c r="L164" s="5" t="s">
        <v>466</v>
      </c>
      <c r="M164" s="5">
        <v>7</v>
      </c>
      <c r="N164" s="5" t="s">
        <v>76</v>
      </c>
      <c r="O164" s="5" t="s">
        <v>467</v>
      </c>
      <c r="P164" s="5"/>
    </row>
    <row r="165" spans="1:16" ht="14" customHeight="1">
      <c r="A165" s="6" t="s">
        <v>470</v>
      </c>
      <c r="B165" s="6" t="s">
        <v>13</v>
      </c>
      <c r="C165" s="6"/>
      <c r="D165" s="6" t="s">
        <v>82</v>
      </c>
      <c r="E165" s="6" t="s">
        <v>471</v>
      </c>
      <c r="F165" s="6" t="s">
        <v>84</v>
      </c>
      <c r="G165" s="11">
        <v>2</v>
      </c>
      <c r="H165" s="11">
        <v>150000</v>
      </c>
      <c r="I165" s="12">
        <v>300000</v>
      </c>
      <c r="J165" s="8">
        <f t="shared" si="8"/>
        <v>300000</v>
      </c>
      <c r="K165" s="8">
        <f t="shared" si="9"/>
        <v>0</v>
      </c>
      <c r="L165" s="6"/>
      <c r="M165" s="6">
        <v>7</v>
      </c>
      <c r="N165" s="6" t="s">
        <v>76</v>
      </c>
      <c r="O165" s="6" t="s">
        <v>467</v>
      </c>
      <c r="P165" s="6"/>
    </row>
    <row r="166" spans="1:16" ht="14" customHeight="1">
      <c r="A166" s="5" t="s">
        <v>472</v>
      </c>
      <c r="B166" s="5" t="s">
        <v>13</v>
      </c>
      <c r="C166" s="5"/>
      <c r="D166" s="5" t="s">
        <v>86</v>
      </c>
      <c r="E166" s="5" t="s">
        <v>473</v>
      </c>
      <c r="F166" s="5" t="s">
        <v>84</v>
      </c>
      <c r="G166" s="9">
        <v>7</v>
      </c>
      <c r="H166" s="9">
        <v>125000</v>
      </c>
      <c r="I166" s="10">
        <v>875000</v>
      </c>
      <c r="J166" s="7">
        <f t="shared" ref="J166:J196" si="10">IF(OR(G166="",H166=""),"",ROUND(G166*H166,0))</f>
        <v>875000</v>
      </c>
      <c r="K166" s="7">
        <f t="shared" ref="K166:K197" si="11">IF(OR(I166="",J166=""),"",I166-J166)</f>
        <v>0</v>
      </c>
      <c r="L166" s="5"/>
      <c r="M166" s="5">
        <v>7</v>
      </c>
      <c r="N166" s="5" t="s">
        <v>76</v>
      </c>
      <c r="O166" s="5" t="s">
        <v>467</v>
      </c>
      <c r="P166" s="5"/>
    </row>
    <row r="167" spans="1:16" ht="14" customHeight="1">
      <c r="A167" s="6" t="s">
        <v>474</v>
      </c>
      <c r="B167" s="6" t="s">
        <v>14</v>
      </c>
      <c r="C167" s="6"/>
      <c r="D167" s="6" t="s">
        <v>73</v>
      </c>
      <c r="E167" s="6" t="s">
        <v>475</v>
      </c>
      <c r="F167" s="6" t="s">
        <v>149</v>
      </c>
      <c r="G167" s="11">
        <v>71.19</v>
      </c>
      <c r="H167" s="11">
        <v>4000</v>
      </c>
      <c r="I167" s="12">
        <v>284760</v>
      </c>
      <c r="J167" s="8">
        <f t="shared" si="10"/>
        <v>284760</v>
      </c>
      <c r="K167" s="8">
        <f t="shared" si="11"/>
        <v>0</v>
      </c>
      <c r="L167" s="6"/>
      <c r="M167" s="6">
        <v>7</v>
      </c>
      <c r="N167" s="6" t="s">
        <v>76</v>
      </c>
      <c r="O167" s="6" t="s">
        <v>467</v>
      </c>
      <c r="P167" s="6"/>
    </row>
    <row r="168" spans="1:16" ht="14" customHeight="1">
      <c r="A168" s="5" t="s">
        <v>476</v>
      </c>
      <c r="B168" s="5" t="s">
        <v>14</v>
      </c>
      <c r="C168" s="5"/>
      <c r="D168" s="5" t="s">
        <v>78</v>
      </c>
      <c r="E168" s="5" t="s">
        <v>477</v>
      </c>
      <c r="F168" s="5" t="s">
        <v>201</v>
      </c>
      <c r="G168" s="9">
        <v>6</v>
      </c>
      <c r="H168" s="9">
        <v>1500</v>
      </c>
      <c r="I168" s="10">
        <v>9000</v>
      </c>
      <c r="J168" s="7">
        <f t="shared" si="10"/>
        <v>9000</v>
      </c>
      <c r="K168" s="7">
        <f t="shared" si="11"/>
        <v>0</v>
      </c>
      <c r="L168" s="5"/>
      <c r="M168" s="5">
        <v>7</v>
      </c>
      <c r="N168" s="5" t="s">
        <v>76</v>
      </c>
      <c r="O168" s="5" t="s">
        <v>467</v>
      </c>
      <c r="P168" s="5"/>
    </row>
    <row r="169" spans="1:16" ht="14" customHeight="1">
      <c r="A169" s="6" t="s">
        <v>478</v>
      </c>
      <c r="B169" s="6" t="s">
        <v>14</v>
      </c>
      <c r="C169" s="6"/>
      <c r="D169" s="6" t="s">
        <v>82</v>
      </c>
      <c r="E169" s="6" t="s">
        <v>479</v>
      </c>
      <c r="F169" s="6" t="s">
        <v>278</v>
      </c>
      <c r="G169" s="11">
        <v>4</v>
      </c>
      <c r="H169" s="11">
        <v>1500</v>
      </c>
      <c r="I169" s="12">
        <v>6000</v>
      </c>
      <c r="J169" s="8">
        <f t="shared" si="10"/>
        <v>6000</v>
      </c>
      <c r="K169" s="8">
        <f t="shared" si="11"/>
        <v>0</v>
      </c>
      <c r="L169" s="6"/>
      <c r="M169" s="6">
        <v>7</v>
      </c>
      <c r="N169" s="6" t="s">
        <v>76</v>
      </c>
      <c r="O169" s="6" t="s">
        <v>467</v>
      </c>
      <c r="P169" s="6"/>
    </row>
    <row r="170" spans="1:16" ht="14" customHeight="1">
      <c r="A170" s="5" t="s">
        <v>480</v>
      </c>
      <c r="B170" s="5" t="s">
        <v>14</v>
      </c>
      <c r="C170" s="5"/>
      <c r="D170" s="5" t="s">
        <v>86</v>
      </c>
      <c r="E170" s="5" t="s">
        <v>481</v>
      </c>
      <c r="F170" s="5" t="s">
        <v>278</v>
      </c>
      <c r="G170" s="9">
        <v>1</v>
      </c>
      <c r="H170" s="9">
        <v>1800</v>
      </c>
      <c r="I170" s="10">
        <v>1800</v>
      </c>
      <c r="J170" s="7">
        <f t="shared" si="10"/>
        <v>1800</v>
      </c>
      <c r="K170" s="7">
        <f t="shared" si="11"/>
        <v>0</v>
      </c>
      <c r="L170" s="5"/>
      <c r="M170" s="5">
        <v>7</v>
      </c>
      <c r="N170" s="5" t="s">
        <v>76</v>
      </c>
      <c r="O170" s="5" t="s">
        <v>467</v>
      </c>
      <c r="P170" s="5"/>
    </row>
    <row r="171" spans="1:16" ht="14" customHeight="1">
      <c r="A171" s="6" t="s">
        <v>482</v>
      </c>
      <c r="B171" s="6" t="s">
        <v>14</v>
      </c>
      <c r="C171" s="6"/>
      <c r="D171" s="6" t="s">
        <v>89</v>
      </c>
      <c r="E171" s="6" t="s">
        <v>483</v>
      </c>
      <c r="F171" s="6" t="s">
        <v>278</v>
      </c>
      <c r="G171" s="11">
        <v>1</v>
      </c>
      <c r="H171" s="11">
        <v>2000</v>
      </c>
      <c r="I171" s="12">
        <v>2000</v>
      </c>
      <c r="J171" s="8">
        <f t="shared" si="10"/>
        <v>2000</v>
      </c>
      <c r="K171" s="8">
        <f t="shared" si="11"/>
        <v>0</v>
      </c>
      <c r="L171" s="6"/>
      <c r="M171" s="6">
        <v>7</v>
      </c>
      <c r="N171" s="6" t="s">
        <v>76</v>
      </c>
      <c r="O171" s="6" t="s">
        <v>467</v>
      </c>
      <c r="P171" s="6"/>
    </row>
    <row r="172" spans="1:16" ht="14" customHeight="1">
      <c r="A172" s="5" t="s">
        <v>484</v>
      </c>
      <c r="B172" s="5" t="s">
        <v>14</v>
      </c>
      <c r="C172" s="5"/>
      <c r="D172" s="5" t="s">
        <v>92</v>
      </c>
      <c r="E172" s="5" t="s">
        <v>485</v>
      </c>
      <c r="F172" s="5" t="s">
        <v>278</v>
      </c>
      <c r="G172" s="9">
        <v>2</v>
      </c>
      <c r="H172" s="9">
        <v>2100</v>
      </c>
      <c r="I172" s="10">
        <v>4200</v>
      </c>
      <c r="J172" s="7">
        <f t="shared" si="10"/>
        <v>4200</v>
      </c>
      <c r="K172" s="7">
        <f t="shared" si="11"/>
        <v>0</v>
      </c>
      <c r="L172" s="5"/>
      <c r="M172" s="5">
        <v>7</v>
      </c>
      <c r="N172" s="5" t="s">
        <v>76</v>
      </c>
      <c r="O172" s="5" t="s">
        <v>467</v>
      </c>
      <c r="P172" s="5"/>
    </row>
    <row r="173" spans="1:16" ht="14" customHeight="1">
      <c r="A173" s="6" t="s">
        <v>486</v>
      </c>
      <c r="B173" s="6" t="s">
        <v>14</v>
      </c>
      <c r="C173" s="6"/>
      <c r="D173" s="6" t="s">
        <v>97</v>
      </c>
      <c r="E173" s="6" t="s">
        <v>487</v>
      </c>
      <c r="F173" s="6" t="s">
        <v>278</v>
      </c>
      <c r="G173" s="11">
        <v>2</v>
      </c>
      <c r="H173" s="11">
        <v>2350</v>
      </c>
      <c r="I173" s="12">
        <v>4700</v>
      </c>
      <c r="J173" s="8">
        <f t="shared" si="10"/>
        <v>4700</v>
      </c>
      <c r="K173" s="8">
        <f t="shared" si="11"/>
        <v>0</v>
      </c>
      <c r="L173" s="6"/>
      <c r="M173" s="6">
        <v>8</v>
      </c>
      <c r="N173" s="6" t="s">
        <v>76</v>
      </c>
      <c r="O173" s="6" t="s">
        <v>467</v>
      </c>
      <c r="P173" s="6"/>
    </row>
    <row r="174" spans="1:16" ht="14" customHeight="1">
      <c r="A174" s="5" t="s">
        <v>488</v>
      </c>
      <c r="B174" s="5" t="s">
        <v>14</v>
      </c>
      <c r="C174" s="5"/>
      <c r="D174" s="5" t="s">
        <v>102</v>
      </c>
      <c r="E174" s="5" t="s">
        <v>489</v>
      </c>
      <c r="F174" s="5" t="s">
        <v>278</v>
      </c>
      <c r="G174" s="9">
        <v>1</v>
      </c>
      <c r="H174" s="9">
        <v>2500</v>
      </c>
      <c r="I174" s="10">
        <v>2500</v>
      </c>
      <c r="J174" s="7">
        <f t="shared" si="10"/>
        <v>2500</v>
      </c>
      <c r="K174" s="7">
        <f t="shared" si="11"/>
        <v>0</v>
      </c>
      <c r="L174" s="5"/>
      <c r="M174" s="5">
        <v>8</v>
      </c>
      <c r="N174" s="5" t="s">
        <v>76</v>
      </c>
      <c r="O174" s="5" t="s">
        <v>467</v>
      </c>
      <c r="P174" s="5"/>
    </row>
    <row r="175" spans="1:16" ht="14" customHeight="1">
      <c r="A175" s="6" t="s">
        <v>490</v>
      </c>
      <c r="B175" s="6" t="s">
        <v>14</v>
      </c>
      <c r="C175" s="6"/>
      <c r="D175" s="6" t="s">
        <v>106</v>
      </c>
      <c r="E175" s="6" t="s">
        <v>491</v>
      </c>
      <c r="F175" s="6" t="s">
        <v>80</v>
      </c>
      <c r="G175" s="11">
        <v>53.99</v>
      </c>
      <c r="H175" s="11">
        <v>4500</v>
      </c>
      <c r="I175" s="12">
        <v>242955</v>
      </c>
      <c r="J175" s="8">
        <f t="shared" si="10"/>
        <v>242955</v>
      </c>
      <c r="K175" s="8">
        <f t="shared" si="11"/>
        <v>0</v>
      </c>
      <c r="L175" s="6"/>
      <c r="M175" s="6">
        <v>8</v>
      </c>
      <c r="N175" s="6" t="s">
        <v>76</v>
      </c>
      <c r="O175" s="6" t="s">
        <v>467</v>
      </c>
      <c r="P175" s="6"/>
    </row>
    <row r="176" spans="1:16" ht="14" customHeight="1">
      <c r="A176" s="5" t="s">
        <v>492</v>
      </c>
      <c r="B176" s="5" t="s">
        <v>14</v>
      </c>
      <c r="C176" s="5"/>
      <c r="D176" s="5" t="s">
        <v>109</v>
      </c>
      <c r="E176" s="5" t="s">
        <v>493</v>
      </c>
      <c r="F176" s="5" t="s">
        <v>80</v>
      </c>
      <c r="G176" s="9">
        <v>56.03</v>
      </c>
      <c r="H176" s="9">
        <v>4500</v>
      </c>
      <c r="I176" s="10">
        <v>252135</v>
      </c>
      <c r="J176" s="7">
        <f t="shared" si="10"/>
        <v>252135</v>
      </c>
      <c r="K176" s="7">
        <f t="shared" si="11"/>
        <v>0</v>
      </c>
      <c r="L176" s="5"/>
      <c r="M176" s="5">
        <v>8</v>
      </c>
      <c r="N176" s="5" t="s">
        <v>76</v>
      </c>
      <c r="O176" s="5" t="s">
        <v>467</v>
      </c>
      <c r="P176" s="5"/>
    </row>
    <row r="177" spans="1:16" ht="14" customHeight="1">
      <c r="A177" s="6" t="s">
        <v>494</v>
      </c>
      <c r="B177" s="6" t="s">
        <v>14</v>
      </c>
      <c r="C177" s="6"/>
      <c r="D177" s="6" t="s">
        <v>112</v>
      </c>
      <c r="E177" s="6" t="s">
        <v>495</v>
      </c>
      <c r="F177" s="6" t="s">
        <v>496</v>
      </c>
      <c r="G177" s="11">
        <v>3</v>
      </c>
      <c r="H177" s="11">
        <v>850</v>
      </c>
      <c r="I177" s="12">
        <v>2550</v>
      </c>
      <c r="J177" s="8">
        <f t="shared" si="10"/>
        <v>2550</v>
      </c>
      <c r="K177" s="8">
        <f t="shared" si="11"/>
        <v>0</v>
      </c>
      <c r="L177" s="6"/>
      <c r="M177" s="6">
        <v>8</v>
      </c>
      <c r="N177" s="6" t="s">
        <v>76</v>
      </c>
      <c r="O177" s="6" t="s">
        <v>467</v>
      </c>
      <c r="P177" s="6"/>
    </row>
    <row r="178" spans="1:16" ht="14" customHeight="1">
      <c r="A178" s="5" t="s">
        <v>497</v>
      </c>
      <c r="B178" s="5" t="s">
        <v>14</v>
      </c>
      <c r="C178" s="5"/>
      <c r="D178" s="5" t="s">
        <v>115</v>
      </c>
      <c r="E178" s="5" t="s">
        <v>498</v>
      </c>
      <c r="F178" s="5" t="s">
        <v>496</v>
      </c>
      <c r="G178" s="9">
        <v>3</v>
      </c>
      <c r="H178" s="9">
        <v>850</v>
      </c>
      <c r="I178" s="10">
        <v>2550</v>
      </c>
      <c r="J178" s="7">
        <f t="shared" si="10"/>
        <v>2550</v>
      </c>
      <c r="K178" s="7">
        <f t="shared" si="11"/>
        <v>0</v>
      </c>
      <c r="L178" s="5"/>
      <c r="M178" s="5">
        <v>8</v>
      </c>
      <c r="N178" s="5" t="s">
        <v>76</v>
      </c>
      <c r="O178" s="5" t="s">
        <v>467</v>
      </c>
      <c r="P178" s="5"/>
    </row>
    <row r="179" spans="1:16" ht="14" customHeight="1">
      <c r="A179" s="6" t="s">
        <v>499</v>
      </c>
      <c r="B179" s="6" t="s">
        <v>14</v>
      </c>
      <c r="C179" s="6"/>
      <c r="D179" s="6" t="s">
        <v>118</v>
      </c>
      <c r="E179" s="6" t="s">
        <v>500</v>
      </c>
      <c r="F179" s="6" t="s">
        <v>501</v>
      </c>
      <c r="G179" s="11">
        <v>8</v>
      </c>
      <c r="H179" s="11">
        <v>1200</v>
      </c>
      <c r="I179" s="12">
        <v>9600</v>
      </c>
      <c r="J179" s="8">
        <f t="shared" si="10"/>
        <v>9600</v>
      </c>
      <c r="K179" s="8">
        <f t="shared" si="11"/>
        <v>0</v>
      </c>
      <c r="L179" s="6"/>
      <c r="M179" s="6">
        <v>8</v>
      </c>
      <c r="N179" s="6" t="s">
        <v>76</v>
      </c>
      <c r="O179" s="6" t="s">
        <v>467</v>
      </c>
      <c r="P179" s="6"/>
    </row>
    <row r="180" spans="1:16" ht="14" customHeight="1">
      <c r="A180" s="5" t="s">
        <v>502</v>
      </c>
      <c r="B180" s="5" t="s">
        <v>14</v>
      </c>
      <c r="C180" s="5"/>
      <c r="D180" s="5" t="s">
        <v>121</v>
      </c>
      <c r="E180" s="5" t="s">
        <v>503</v>
      </c>
      <c r="F180" s="5" t="s">
        <v>501</v>
      </c>
      <c r="G180" s="9">
        <v>1</v>
      </c>
      <c r="H180" s="9">
        <v>3500</v>
      </c>
      <c r="I180" s="10">
        <v>3500</v>
      </c>
      <c r="J180" s="7">
        <f t="shared" si="10"/>
        <v>3500</v>
      </c>
      <c r="K180" s="7">
        <f t="shared" si="11"/>
        <v>0</v>
      </c>
      <c r="L180" s="5"/>
      <c r="M180" s="5">
        <v>8</v>
      </c>
      <c r="N180" s="5" t="s">
        <v>76</v>
      </c>
      <c r="O180" s="5" t="s">
        <v>467</v>
      </c>
      <c r="P180" s="5"/>
    </row>
    <row r="181" spans="1:16" ht="14" customHeight="1">
      <c r="A181" s="6" t="s">
        <v>504</v>
      </c>
      <c r="B181" s="6" t="s">
        <v>14</v>
      </c>
      <c r="C181" s="6"/>
      <c r="D181" s="6" t="s">
        <v>124</v>
      </c>
      <c r="E181" s="6" t="s">
        <v>505</v>
      </c>
      <c r="F181" s="6" t="s">
        <v>501</v>
      </c>
      <c r="G181" s="11">
        <v>1</v>
      </c>
      <c r="H181" s="11">
        <v>4000</v>
      </c>
      <c r="I181" s="12">
        <v>4000</v>
      </c>
      <c r="J181" s="8">
        <f t="shared" si="10"/>
        <v>4000</v>
      </c>
      <c r="K181" s="8">
        <f t="shared" si="11"/>
        <v>0</v>
      </c>
      <c r="L181" s="6"/>
      <c r="M181" s="6">
        <v>8</v>
      </c>
      <c r="N181" s="6" t="s">
        <v>76</v>
      </c>
      <c r="O181" s="6" t="s">
        <v>467</v>
      </c>
      <c r="P181" s="6"/>
    </row>
    <row r="182" spans="1:16" ht="14" customHeight="1">
      <c r="A182" s="5" t="s">
        <v>506</v>
      </c>
      <c r="B182" s="5" t="s">
        <v>14</v>
      </c>
      <c r="C182" s="5"/>
      <c r="D182" s="5" t="s">
        <v>128</v>
      </c>
      <c r="E182" s="5" t="s">
        <v>507</v>
      </c>
      <c r="F182" s="5" t="s">
        <v>278</v>
      </c>
      <c r="G182" s="9">
        <v>1</v>
      </c>
      <c r="H182" s="9">
        <v>5000</v>
      </c>
      <c r="I182" s="10">
        <v>5000</v>
      </c>
      <c r="J182" s="7">
        <f t="shared" si="10"/>
        <v>5000</v>
      </c>
      <c r="K182" s="7">
        <f t="shared" si="11"/>
        <v>0</v>
      </c>
      <c r="L182" s="5"/>
      <c r="M182" s="5">
        <v>8</v>
      </c>
      <c r="N182" s="5" t="s">
        <v>76</v>
      </c>
      <c r="O182" s="5" t="s">
        <v>467</v>
      </c>
      <c r="P182" s="5"/>
    </row>
    <row r="183" spans="1:16" ht="14" customHeight="1">
      <c r="A183" s="6" t="s">
        <v>508</v>
      </c>
      <c r="B183" s="6" t="s">
        <v>14</v>
      </c>
      <c r="C183" s="6"/>
      <c r="D183" s="6" t="s">
        <v>132</v>
      </c>
      <c r="E183" s="6" t="s">
        <v>509</v>
      </c>
      <c r="F183" s="6" t="s">
        <v>75</v>
      </c>
      <c r="G183" s="11">
        <v>1</v>
      </c>
      <c r="H183" s="11">
        <v>5000</v>
      </c>
      <c r="I183" s="12">
        <v>5000</v>
      </c>
      <c r="J183" s="8">
        <f t="shared" si="10"/>
        <v>5000</v>
      </c>
      <c r="K183" s="8">
        <f t="shared" si="11"/>
        <v>0</v>
      </c>
      <c r="L183" s="6"/>
      <c r="M183" s="6">
        <v>8</v>
      </c>
      <c r="N183" s="6" t="s">
        <v>76</v>
      </c>
      <c r="O183" s="6" t="s">
        <v>467</v>
      </c>
      <c r="P183" s="6"/>
    </row>
    <row r="184" spans="1:16" ht="14" customHeight="1">
      <c r="A184" s="5" t="s">
        <v>510</v>
      </c>
      <c r="B184" s="5" t="s">
        <v>14</v>
      </c>
      <c r="C184" s="5"/>
      <c r="D184" s="5" t="s">
        <v>136</v>
      </c>
      <c r="E184" s="5" t="s">
        <v>511</v>
      </c>
      <c r="F184" s="5" t="s">
        <v>75</v>
      </c>
      <c r="G184" s="9">
        <v>1</v>
      </c>
      <c r="H184" s="9">
        <v>250000</v>
      </c>
      <c r="I184" s="10">
        <v>250000</v>
      </c>
      <c r="J184" s="7">
        <f t="shared" si="10"/>
        <v>250000</v>
      </c>
      <c r="K184" s="7">
        <f t="shared" si="11"/>
        <v>0</v>
      </c>
      <c r="L184" s="5"/>
      <c r="M184" s="5">
        <v>8</v>
      </c>
      <c r="N184" s="5" t="s">
        <v>76</v>
      </c>
      <c r="O184" s="5" t="s">
        <v>467</v>
      </c>
      <c r="P184" s="5"/>
    </row>
    <row r="185" spans="1:16" ht="14" customHeight="1">
      <c r="A185" s="6" t="s">
        <v>512</v>
      </c>
      <c r="B185" s="6" t="s">
        <v>14</v>
      </c>
      <c r="C185" s="6"/>
      <c r="D185" s="6" t="s">
        <v>139</v>
      </c>
      <c r="E185" s="6" t="s">
        <v>513</v>
      </c>
      <c r="F185" s="6" t="s">
        <v>80</v>
      </c>
      <c r="G185" s="11">
        <v>17.7</v>
      </c>
      <c r="H185" s="11">
        <v>6500</v>
      </c>
      <c r="I185" s="12">
        <v>115050</v>
      </c>
      <c r="J185" s="8">
        <f t="shared" si="10"/>
        <v>115050</v>
      </c>
      <c r="K185" s="8">
        <f t="shared" si="11"/>
        <v>0</v>
      </c>
      <c r="L185" s="6"/>
      <c r="M185" s="6">
        <v>8</v>
      </c>
      <c r="N185" s="6" t="s">
        <v>76</v>
      </c>
      <c r="O185" s="6" t="s">
        <v>467</v>
      </c>
      <c r="P185" s="6"/>
    </row>
    <row r="186" spans="1:16" ht="14" customHeight="1">
      <c r="A186" s="5" t="s">
        <v>514</v>
      </c>
      <c r="B186" s="5" t="s">
        <v>14</v>
      </c>
      <c r="C186" s="5"/>
      <c r="D186" s="5" t="s">
        <v>142</v>
      </c>
      <c r="E186" s="5" t="s">
        <v>515</v>
      </c>
      <c r="F186" s="5" t="s">
        <v>75</v>
      </c>
      <c r="G186" s="9">
        <v>1</v>
      </c>
      <c r="H186" s="9">
        <v>250000</v>
      </c>
      <c r="I186" s="10">
        <v>250000</v>
      </c>
      <c r="J186" s="7">
        <f t="shared" si="10"/>
        <v>250000</v>
      </c>
      <c r="K186" s="7">
        <f t="shared" si="11"/>
        <v>0</v>
      </c>
      <c r="L186" s="5"/>
      <c r="M186" s="5">
        <v>8</v>
      </c>
      <c r="N186" s="5" t="s">
        <v>76</v>
      </c>
      <c r="O186" s="5" t="s">
        <v>467</v>
      </c>
      <c r="P186" s="5"/>
    </row>
    <row r="187" spans="1:16" ht="14" customHeight="1">
      <c r="A187" s="6" t="s">
        <v>516</v>
      </c>
      <c r="B187" s="6" t="s">
        <v>14</v>
      </c>
      <c r="C187" s="6"/>
      <c r="D187" s="6" t="s">
        <v>145</v>
      </c>
      <c r="E187" s="6" t="s">
        <v>517</v>
      </c>
      <c r="F187" s="6" t="s">
        <v>201</v>
      </c>
      <c r="G187" s="11">
        <v>8</v>
      </c>
      <c r="H187" s="11">
        <v>5000</v>
      </c>
      <c r="I187" s="12">
        <v>40000</v>
      </c>
      <c r="J187" s="8">
        <f t="shared" si="10"/>
        <v>40000</v>
      </c>
      <c r="K187" s="8">
        <f t="shared" si="11"/>
        <v>0</v>
      </c>
      <c r="L187" s="6"/>
      <c r="M187" s="6">
        <v>8</v>
      </c>
      <c r="N187" s="6" t="s">
        <v>76</v>
      </c>
      <c r="O187" s="6" t="s">
        <v>467</v>
      </c>
      <c r="P187" s="6"/>
    </row>
    <row r="188" spans="1:16" ht="14" customHeight="1">
      <c r="A188" s="5" t="s">
        <v>518</v>
      </c>
      <c r="B188" s="5" t="s">
        <v>14</v>
      </c>
      <c r="C188" s="5"/>
      <c r="D188" s="5" t="s">
        <v>226</v>
      </c>
      <c r="E188" s="5" t="s">
        <v>519</v>
      </c>
      <c r="F188" s="5" t="s">
        <v>80</v>
      </c>
      <c r="G188" s="9">
        <v>320</v>
      </c>
      <c r="H188" s="9">
        <v>4500</v>
      </c>
      <c r="I188" s="10">
        <v>1440000</v>
      </c>
      <c r="J188" s="7">
        <f t="shared" si="10"/>
        <v>1440000</v>
      </c>
      <c r="K188" s="7">
        <f t="shared" si="11"/>
        <v>0</v>
      </c>
      <c r="L188" s="5"/>
      <c r="M188" s="5">
        <v>8</v>
      </c>
      <c r="N188" s="5" t="s">
        <v>76</v>
      </c>
      <c r="O188" s="5" t="s">
        <v>467</v>
      </c>
      <c r="P188" s="5"/>
    </row>
    <row r="189" spans="1:16" ht="14" customHeight="1">
      <c r="A189" s="6" t="s">
        <v>520</v>
      </c>
      <c r="B189" s="6" t="s">
        <v>15</v>
      </c>
      <c r="C189" s="6"/>
      <c r="D189" s="6" t="s">
        <v>73</v>
      </c>
      <c r="E189" s="6" t="s">
        <v>521</v>
      </c>
      <c r="F189" s="6" t="s">
        <v>149</v>
      </c>
      <c r="G189" s="11">
        <v>395.93</v>
      </c>
      <c r="H189" s="11">
        <v>120</v>
      </c>
      <c r="I189" s="12">
        <v>47512</v>
      </c>
      <c r="J189" s="8">
        <f t="shared" si="10"/>
        <v>47512</v>
      </c>
      <c r="K189" s="8">
        <f t="shared" si="11"/>
        <v>0</v>
      </c>
      <c r="L189" s="6"/>
      <c r="M189" s="6">
        <v>8</v>
      </c>
      <c r="N189" s="6" t="s">
        <v>76</v>
      </c>
      <c r="O189" s="6" t="s">
        <v>467</v>
      </c>
      <c r="P189" s="6"/>
    </row>
    <row r="190" spans="1:16" ht="14" customHeight="1">
      <c r="A190" s="5" t="s">
        <v>522</v>
      </c>
      <c r="B190" s="5" t="s">
        <v>15</v>
      </c>
      <c r="C190" s="5"/>
      <c r="D190" s="5" t="s">
        <v>78</v>
      </c>
      <c r="E190" s="5" t="s">
        <v>523</v>
      </c>
      <c r="F190" s="5" t="s">
        <v>149</v>
      </c>
      <c r="G190" s="9">
        <v>135.51</v>
      </c>
      <c r="H190" s="9">
        <v>830</v>
      </c>
      <c r="I190" s="10">
        <v>112473</v>
      </c>
      <c r="J190" s="7">
        <f t="shared" si="10"/>
        <v>112473</v>
      </c>
      <c r="K190" s="7">
        <f t="shared" si="11"/>
        <v>0</v>
      </c>
      <c r="L190" s="5"/>
      <c r="M190" s="5">
        <v>8</v>
      </c>
      <c r="N190" s="5" t="s">
        <v>76</v>
      </c>
      <c r="O190" s="5" t="s">
        <v>467</v>
      </c>
      <c r="P190" s="5"/>
    </row>
    <row r="191" spans="1:16" ht="14" customHeight="1">
      <c r="A191" s="6" t="s">
        <v>524</v>
      </c>
      <c r="B191" s="6" t="s">
        <v>15</v>
      </c>
      <c r="C191" s="6"/>
      <c r="D191" s="6" t="s">
        <v>82</v>
      </c>
      <c r="E191" s="6" t="s">
        <v>525</v>
      </c>
      <c r="F191" s="6" t="s">
        <v>149</v>
      </c>
      <c r="G191" s="11">
        <v>845</v>
      </c>
      <c r="H191" s="11">
        <v>2000</v>
      </c>
      <c r="I191" s="12">
        <v>1690000</v>
      </c>
      <c r="J191" s="8">
        <f t="shared" si="10"/>
        <v>1690000</v>
      </c>
      <c r="K191" s="8">
        <f t="shared" si="11"/>
        <v>0</v>
      </c>
      <c r="L191" s="6"/>
      <c r="M191" s="6">
        <v>8</v>
      </c>
      <c r="N191" s="6" t="s">
        <v>76</v>
      </c>
      <c r="O191" s="6" t="s">
        <v>467</v>
      </c>
      <c r="P191" s="6"/>
    </row>
    <row r="192" spans="1:16" ht="14" customHeight="1">
      <c r="A192" s="5" t="s">
        <v>526</v>
      </c>
      <c r="B192" s="5" t="s">
        <v>16</v>
      </c>
      <c r="C192" s="5"/>
      <c r="D192" s="5" t="s">
        <v>527</v>
      </c>
      <c r="E192" s="5" t="s">
        <v>16</v>
      </c>
      <c r="F192" s="5" t="s">
        <v>75</v>
      </c>
      <c r="G192" s="9">
        <v>1</v>
      </c>
      <c r="H192" s="9"/>
      <c r="I192" s="10">
        <v>1463741</v>
      </c>
      <c r="J192" s="7" t="str">
        <f t="shared" si="10"/>
        <v/>
      </c>
      <c r="K192" s="7" t="str">
        <f t="shared" si="11"/>
        <v/>
      </c>
      <c r="L192" s="5" t="s">
        <v>528</v>
      </c>
      <c r="M192" s="5">
        <v>1</v>
      </c>
      <c r="N192" s="5" t="s">
        <v>529</v>
      </c>
      <c r="O192" s="5" t="s">
        <v>530</v>
      </c>
      <c r="P192" s="5"/>
    </row>
    <row r="193" spans="1:16" ht="14" customHeight="1">
      <c r="A193" s="6" t="s">
        <v>531</v>
      </c>
      <c r="B193" s="6" t="s">
        <v>17</v>
      </c>
      <c r="C193" s="6"/>
      <c r="D193" s="6" t="s">
        <v>532</v>
      </c>
      <c r="E193" s="6" t="s">
        <v>17</v>
      </c>
      <c r="F193" s="6" t="s">
        <v>75</v>
      </c>
      <c r="G193" s="11">
        <v>1</v>
      </c>
      <c r="H193" s="11"/>
      <c r="I193" s="12">
        <v>914838</v>
      </c>
      <c r="J193" s="8" t="str">
        <f t="shared" si="10"/>
        <v/>
      </c>
      <c r="K193" s="8" t="str">
        <f t="shared" si="11"/>
        <v/>
      </c>
      <c r="L193" s="6" t="s">
        <v>528</v>
      </c>
      <c r="M193" s="6">
        <v>1</v>
      </c>
      <c r="N193" s="6" t="s">
        <v>529</v>
      </c>
      <c r="O193" s="6" t="s">
        <v>530</v>
      </c>
      <c r="P193" s="6"/>
    </row>
    <row r="194" spans="1:16" ht="14" customHeight="1">
      <c r="A194" s="5" t="s">
        <v>533</v>
      </c>
      <c r="B194" s="5" t="s">
        <v>18</v>
      </c>
      <c r="C194" s="5"/>
      <c r="D194" s="5" t="s">
        <v>534</v>
      </c>
      <c r="E194" s="5" t="s">
        <v>18</v>
      </c>
      <c r="F194" s="5" t="s">
        <v>75</v>
      </c>
      <c r="G194" s="9">
        <v>1</v>
      </c>
      <c r="H194" s="9"/>
      <c r="I194" s="10">
        <v>14637413</v>
      </c>
      <c r="J194" s="7" t="str">
        <f t="shared" si="10"/>
        <v/>
      </c>
      <c r="K194" s="7" t="str">
        <f t="shared" si="11"/>
        <v/>
      </c>
      <c r="L194" s="5" t="s">
        <v>528</v>
      </c>
      <c r="M194" s="5">
        <v>1</v>
      </c>
      <c r="N194" s="5" t="s">
        <v>529</v>
      </c>
      <c r="O194" s="5" t="s">
        <v>535</v>
      </c>
      <c r="P194" s="5"/>
    </row>
    <row r="195" spans="1:16" ht="14" customHeight="1">
      <c r="A195" s="6" t="s">
        <v>536</v>
      </c>
      <c r="B195" s="6" t="s">
        <v>19</v>
      </c>
      <c r="C195" s="6"/>
      <c r="D195" s="6" t="s">
        <v>537</v>
      </c>
      <c r="E195" s="6" t="s">
        <v>19</v>
      </c>
      <c r="F195" s="6" t="s">
        <v>75</v>
      </c>
      <c r="G195" s="11">
        <v>1</v>
      </c>
      <c r="H195" s="11">
        <v>9999183</v>
      </c>
      <c r="I195" s="12">
        <v>9999183</v>
      </c>
      <c r="J195" s="8">
        <f t="shared" si="10"/>
        <v>9999183</v>
      </c>
      <c r="K195" s="8">
        <f t="shared" si="11"/>
        <v>0</v>
      </c>
      <c r="L195" s="6" t="s">
        <v>528</v>
      </c>
      <c r="M195" s="6">
        <v>1</v>
      </c>
      <c r="N195" s="6" t="s">
        <v>529</v>
      </c>
      <c r="O195" s="6" t="s">
        <v>25</v>
      </c>
      <c r="P195" s="6"/>
    </row>
    <row r="196" spans="1:16" ht="14" customHeight="1">
      <c r="A196" s="5" t="s">
        <v>538</v>
      </c>
      <c r="B196" s="5" t="s">
        <v>20</v>
      </c>
      <c r="C196" s="5"/>
      <c r="D196" s="5" t="s">
        <v>539</v>
      </c>
      <c r="E196" s="5" t="s">
        <v>20</v>
      </c>
      <c r="F196" s="5" t="s">
        <v>75</v>
      </c>
      <c r="G196" s="9">
        <v>1</v>
      </c>
      <c r="H196" s="9">
        <v>65000</v>
      </c>
      <c r="I196" s="10">
        <v>65000</v>
      </c>
      <c r="J196" s="7">
        <f t="shared" si="10"/>
        <v>65000</v>
      </c>
      <c r="K196" s="7">
        <f t="shared" si="11"/>
        <v>0</v>
      </c>
      <c r="L196" s="5" t="s">
        <v>528</v>
      </c>
      <c r="M196" s="5">
        <v>1</v>
      </c>
      <c r="N196" s="5" t="s">
        <v>529</v>
      </c>
      <c r="O196" s="5" t="s">
        <v>27</v>
      </c>
      <c r="P196" s="5"/>
    </row>
  </sheetData>
  <phoneticPr fontId="10" type="noConversion"/>
  <conditionalFormatting sqref="K6:K196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32" customWidth="1"/>
    <col min="3" max="3" width="145" customWidth="1"/>
  </cols>
  <sheetData>
    <row r="2" spans="1:3" ht="19.200000762939453" customHeight="1">
      <c r="A2" s="1" t="s">
        <v>540</v>
      </c>
    </row>
    <row r="5" spans="1:3" ht="14" customHeight="1">
      <c r="A5" s="2" t="s">
        <v>68</v>
      </c>
      <c r="B5" s="2" t="s">
        <v>541</v>
      </c>
      <c r="C5" s="2" t="s">
        <v>542</v>
      </c>
    </row>
    <row r="6" spans="1:3" ht="14" customHeight="1">
      <c r="A6" s="5"/>
      <c r="B6" s="5" t="s">
        <v>543</v>
      </c>
      <c r="C6" s="5" t="s">
        <v>544</v>
      </c>
    </row>
    <row r="7" spans="1:3" ht="14" customHeight="1">
      <c r="A7" s="6"/>
      <c r="B7" s="6" t="s">
        <v>545</v>
      </c>
      <c r="C7" s="6" t="s">
        <v>102</v>
      </c>
    </row>
    <row r="8" spans="1:3" ht="14" customHeight="1">
      <c r="A8" s="5"/>
      <c r="B8" s="5" t="s">
        <v>546</v>
      </c>
      <c r="C8" s="5" t="s">
        <v>547</v>
      </c>
    </row>
    <row r="9" spans="1:3" ht="14" customHeight="1">
      <c r="A9" s="6">
        <v>1</v>
      </c>
      <c r="B9" s="6" t="s">
        <v>548</v>
      </c>
      <c r="C9" s="6" t="s">
        <v>549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報價總覽</vt:lpstr>
      <vt:lpstr>報價明細</vt:lpstr>
      <vt:lpstr>備註與來源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宗群 陳</cp:lastModifiedBy>
  <dcterms:modified xsi:type="dcterms:W3CDTF">2026-10-06T12:08:13Z</dcterms:modified>
</cp:coreProperties>
</file>