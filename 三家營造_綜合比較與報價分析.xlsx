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tommychen/Documents/New project/outputs/營造報價比較/"/>
    </mc:Choice>
  </mc:AlternateContent>
  <xr:revisionPtr revIDLastSave="0" documentId="13_ncr:1_{52C62A23-F74C-9446-8270-09D2D88AC065}" xr6:coauthVersionLast="47" xr6:coauthVersionMax="47" xr10:uidLastSave="{00000000-0000-0000-0000-000000000000}"/>
  <bookViews>
    <workbookView xWindow="0" yWindow="680" windowWidth="28800" windowHeight="16480" activeTab="7" xr2:uid="{00000000-000D-0000-FFFF-FFFF00000000}"/>
  </bookViews>
  <sheets>
    <sheet name="綜合總覽" sheetId="1" r:id="rId1"/>
    <sheet name="分類比較" sheetId="2" r:id="rId2"/>
    <sheet name="單價與數量" sheetId="3" r:id="rId3"/>
    <sheet name="價差拆解" sheetId="4" r:id="rId4"/>
    <sheet name="範圍品牌條款" sheetId="5" r:id="rId5"/>
    <sheet name="待確認事項" sheetId="6" r:id="rId6"/>
    <sheet name="三家明細" sheetId="7" r:id="rId7"/>
    <sheet name="原報價總表" sheetId="8" r:id="rId8"/>
  </sheets>
  <definedNames>
    <definedName name="_xlnm._FilterDatabase" localSheetId="3" hidden="1">價差拆解!$A$5:$H$65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8" l="1"/>
  <c r="J8" i="8" s="1"/>
  <c r="I7" i="8"/>
  <c r="J7" i="8" s="1"/>
  <c r="I6" i="8"/>
  <c r="J6" i="8" s="1"/>
  <c r="J611" i="7"/>
  <c r="K611" i="7" s="1"/>
  <c r="J610" i="7"/>
  <c r="K610" i="7" s="1"/>
  <c r="J609" i="7"/>
  <c r="K609" i="7" s="1"/>
  <c r="J608" i="7"/>
  <c r="K608" i="7" s="1"/>
  <c r="K607" i="7"/>
  <c r="J607" i="7"/>
  <c r="K606" i="7"/>
  <c r="J606" i="7"/>
  <c r="J605" i="7"/>
  <c r="K605" i="7" s="1"/>
  <c r="J604" i="7"/>
  <c r="K604" i="7" s="1"/>
  <c r="J603" i="7"/>
  <c r="K603" i="7" s="1"/>
  <c r="J602" i="7"/>
  <c r="K602" i="7" s="1"/>
  <c r="J601" i="7"/>
  <c r="K601" i="7" s="1"/>
  <c r="J600" i="7"/>
  <c r="K600" i="7" s="1"/>
  <c r="J599" i="7"/>
  <c r="K599" i="7" s="1"/>
  <c r="J598" i="7"/>
  <c r="K598" i="7" s="1"/>
  <c r="J597" i="7"/>
  <c r="K597" i="7" s="1"/>
  <c r="J596" i="7"/>
  <c r="K596" i="7" s="1"/>
  <c r="J595" i="7"/>
  <c r="K595" i="7" s="1"/>
  <c r="J594" i="7"/>
  <c r="K594" i="7" s="1"/>
  <c r="J593" i="7"/>
  <c r="K593" i="7" s="1"/>
  <c r="J592" i="7"/>
  <c r="K592" i="7" s="1"/>
  <c r="J591" i="7"/>
  <c r="K591" i="7" s="1"/>
  <c r="J590" i="7"/>
  <c r="K590" i="7" s="1"/>
  <c r="J589" i="7"/>
  <c r="K589" i="7" s="1"/>
  <c r="J588" i="7"/>
  <c r="K588" i="7" s="1"/>
  <c r="K587" i="7"/>
  <c r="J587" i="7"/>
  <c r="K586" i="7"/>
  <c r="J586" i="7"/>
  <c r="J585" i="7"/>
  <c r="K585" i="7" s="1"/>
  <c r="J584" i="7"/>
  <c r="K584" i="7" s="1"/>
  <c r="J583" i="7"/>
  <c r="K583" i="7" s="1"/>
  <c r="J582" i="7"/>
  <c r="K582" i="7" s="1"/>
  <c r="J581" i="7"/>
  <c r="K581" i="7" s="1"/>
  <c r="J580" i="7"/>
  <c r="K580" i="7" s="1"/>
  <c r="J579" i="7"/>
  <c r="K579" i="7" s="1"/>
  <c r="J578" i="7"/>
  <c r="K578" i="7" s="1"/>
  <c r="K577" i="7"/>
  <c r="J577" i="7"/>
  <c r="K576" i="7"/>
  <c r="J576" i="7"/>
  <c r="J575" i="7"/>
  <c r="K575" i="7" s="1"/>
  <c r="J574" i="7"/>
  <c r="K574" i="7" s="1"/>
  <c r="J573" i="7"/>
  <c r="K573" i="7" s="1"/>
  <c r="J572" i="7"/>
  <c r="K572" i="7" s="1"/>
  <c r="J571" i="7"/>
  <c r="K571" i="7" s="1"/>
  <c r="J570" i="7"/>
  <c r="K570" i="7" s="1"/>
  <c r="J569" i="7"/>
  <c r="K569" i="7" s="1"/>
  <c r="J568" i="7"/>
  <c r="K568" i="7" s="1"/>
  <c r="K567" i="7"/>
  <c r="J567" i="7"/>
  <c r="K566" i="7"/>
  <c r="J566" i="7"/>
  <c r="J565" i="7"/>
  <c r="K565" i="7" s="1"/>
  <c r="J564" i="7"/>
  <c r="K564" i="7" s="1"/>
  <c r="J563" i="7"/>
  <c r="K563" i="7" s="1"/>
  <c r="J562" i="7"/>
  <c r="K562" i="7" s="1"/>
  <c r="J561" i="7"/>
  <c r="K561" i="7" s="1"/>
  <c r="J560" i="7"/>
  <c r="K560" i="7" s="1"/>
  <c r="J559" i="7"/>
  <c r="K559" i="7" s="1"/>
  <c r="J558" i="7"/>
  <c r="K558" i="7" s="1"/>
  <c r="K557" i="7"/>
  <c r="J557" i="7"/>
  <c r="K556" i="7"/>
  <c r="J556" i="7"/>
  <c r="J555" i="7"/>
  <c r="K555" i="7" s="1"/>
  <c r="J554" i="7"/>
  <c r="K554" i="7" s="1"/>
  <c r="J553" i="7"/>
  <c r="K553" i="7" s="1"/>
  <c r="K552" i="7"/>
  <c r="J552" i="7"/>
  <c r="J551" i="7"/>
  <c r="K551" i="7" s="1"/>
  <c r="J550" i="7"/>
  <c r="K550" i="7" s="1"/>
  <c r="J549" i="7"/>
  <c r="K549" i="7" s="1"/>
  <c r="J548" i="7"/>
  <c r="K548" i="7" s="1"/>
  <c r="J547" i="7"/>
  <c r="K547" i="7" s="1"/>
  <c r="J546" i="7"/>
  <c r="K546" i="7" s="1"/>
  <c r="J545" i="7"/>
  <c r="K545" i="7" s="1"/>
  <c r="J544" i="7"/>
  <c r="K544" i="7" s="1"/>
  <c r="J543" i="7"/>
  <c r="K543" i="7" s="1"/>
  <c r="J542" i="7"/>
  <c r="K542" i="7" s="1"/>
  <c r="J541" i="7"/>
  <c r="K541" i="7" s="1"/>
  <c r="J540" i="7"/>
  <c r="K540" i="7" s="1"/>
  <c r="J539" i="7"/>
  <c r="K539" i="7" s="1"/>
  <c r="J538" i="7"/>
  <c r="K538" i="7" s="1"/>
  <c r="K537" i="7"/>
  <c r="J537" i="7"/>
  <c r="K536" i="7"/>
  <c r="J536" i="7"/>
  <c r="J535" i="7"/>
  <c r="K535" i="7" s="1"/>
  <c r="J534" i="7"/>
  <c r="K534" i="7" s="1"/>
  <c r="J533" i="7"/>
  <c r="K533" i="7" s="1"/>
  <c r="J532" i="7"/>
  <c r="K532" i="7" s="1"/>
  <c r="K531" i="7"/>
  <c r="J531" i="7"/>
  <c r="J530" i="7"/>
  <c r="K530" i="7" s="1"/>
  <c r="J529" i="7"/>
  <c r="K529" i="7" s="1"/>
  <c r="J528" i="7"/>
  <c r="K528" i="7" s="1"/>
  <c r="K527" i="7"/>
  <c r="J527" i="7"/>
  <c r="J526" i="7"/>
  <c r="K526" i="7" s="1"/>
  <c r="J525" i="7"/>
  <c r="K525" i="7" s="1"/>
  <c r="J524" i="7"/>
  <c r="K524" i="7" s="1"/>
  <c r="J523" i="7"/>
  <c r="K523" i="7" s="1"/>
  <c r="J522" i="7"/>
  <c r="K522" i="7" s="1"/>
  <c r="J521" i="7"/>
  <c r="K521" i="7" s="1"/>
  <c r="J520" i="7"/>
  <c r="K520" i="7" s="1"/>
  <c r="J519" i="7"/>
  <c r="K519" i="7" s="1"/>
  <c r="J518" i="7"/>
  <c r="K518" i="7" s="1"/>
  <c r="J517" i="7"/>
  <c r="K517" i="7" s="1"/>
  <c r="K516" i="7"/>
  <c r="J516" i="7"/>
  <c r="J515" i="7"/>
  <c r="K515" i="7" s="1"/>
  <c r="J514" i="7"/>
  <c r="K514" i="7" s="1"/>
  <c r="J513" i="7"/>
  <c r="K513" i="7" s="1"/>
  <c r="J512" i="7"/>
  <c r="K512" i="7" s="1"/>
  <c r="J511" i="7"/>
  <c r="K511" i="7" s="1"/>
  <c r="J510" i="7"/>
  <c r="K510" i="7" s="1"/>
  <c r="J509" i="7"/>
  <c r="K509" i="7" s="1"/>
  <c r="J508" i="7"/>
  <c r="K508" i="7" s="1"/>
  <c r="K507" i="7"/>
  <c r="J507" i="7"/>
  <c r="K506" i="7"/>
  <c r="J506" i="7"/>
  <c r="J505" i="7"/>
  <c r="K505" i="7" s="1"/>
  <c r="J504" i="7"/>
  <c r="K504" i="7" s="1"/>
  <c r="J503" i="7"/>
  <c r="K503" i="7" s="1"/>
  <c r="J502" i="7"/>
  <c r="K502" i="7" s="1"/>
  <c r="J501" i="7"/>
  <c r="K501" i="7" s="1"/>
  <c r="J500" i="7"/>
  <c r="K500" i="7" s="1"/>
  <c r="J499" i="7"/>
  <c r="K499" i="7" s="1"/>
  <c r="J498" i="7"/>
  <c r="K498" i="7" s="1"/>
  <c r="K497" i="7"/>
  <c r="J497" i="7"/>
  <c r="J496" i="7"/>
  <c r="K496" i="7" s="1"/>
  <c r="J495" i="7"/>
  <c r="K495" i="7" s="1"/>
  <c r="J494" i="7"/>
  <c r="K494" i="7" s="1"/>
  <c r="J493" i="7"/>
  <c r="K493" i="7" s="1"/>
  <c r="J492" i="7"/>
  <c r="K492" i="7" s="1"/>
  <c r="J491" i="7"/>
  <c r="K491" i="7" s="1"/>
  <c r="J490" i="7"/>
  <c r="K490" i="7" s="1"/>
  <c r="J489" i="7"/>
  <c r="K489" i="7" s="1"/>
  <c r="J488" i="7"/>
  <c r="K488" i="7" s="1"/>
  <c r="K487" i="7"/>
  <c r="J487" i="7"/>
  <c r="K486" i="7"/>
  <c r="J486" i="7"/>
  <c r="J485" i="7"/>
  <c r="K485" i="7" s="1"/>
  <c r="J484" i="7"/>
  <c r="K484" i="7" s="1"/>
  <c r="J483" i="7"/>
  <c r="K483" i="7" s="1"/>
  <c r="K482" i="7"/>
  <c r="J482" i="7"/>
  <c r="J481" i="7"/>
  <c r="K481" i="7" s="1"/>
  <c r="J480" i="7"/>
  <c r="K480" i="7" s="1"/>
  <c r="J479" i="7"/>
  <c r="K479" i="7" s="1"/>
  <c r="J478" i="7"/>
  <c r="K478" i="7" s="1"/>
  <c r="K477" i="7"/>
  <c r="J477" i="7"/>
  <c r="K476" i="7"/>
  <c r="J476" i="7"/>
  <c r="J475" i="7"/>
  <c r="K475" i="7" s="1"/>
  <c r="J474" i="7"/>
  <c r="K474" i="7" s="1"/>
  <c r="J473" i="7"/>
  <c r="K473" i="7" s="1"/>
  <c r="J472" i="7"/>
  <c r="K472" i="7" s="1"/>
  <c r="J471" i="7"/>
  <c r="K471" i="7" s="1"/>
  <c r="J470" i="7"/>
  <c r="K470" i="7" s="1"/>
  <c r="J469" i="7"/>
  <c r="K469" i="7" s="1"/>
  <c r="J468" i="7"/>
  <c r="K468" i="7" s="1"/>
  <c r="K467" i="7"/>
  <c r="J467" i="7"/>
  <c r="K466" i="7"/>
  <c r="J466" i="7"/>
  <c r="J465" i="7"/>
  <c r="K465" i="7" s="1"/>
  <c r="J464" i="7"/>
  <c r="K464" i="7" s="1"/>
  <c r="J463" i="7"/>
  <c r="K463" i="7" s="1"/>
  <c r="J462" i="7"/>
  <c r="K462" i="7" s="1"/>
  <c r="J461" i="7"/>
  <c r="K461" i="7" s="1"/>
  <c r="J460" i="7"/>
  <c r="K460" i="7" s="1"/>
  <c r="J459" i="7"/>
  <c r="K459" i="7" s="1"/>
  <c r="J458" i="7"/>
  <c r="K458" i="7" s="1"/>
  <c r="K457" i="7"/>
  <c r="J457" i="7"/>
  <c r="K456" i="7"/>
  <c r="J456" i="7"/>
  <c r="J455" i="7"/>
  <c r="K455" i="7" s="1"/>
  <c r="J454" i="7"/>
  <c r="K454" i="7" s="1"/>
  <c r="J453" i="7"/>
  <c r="K453" i="7" s="1"/>
  <c r="K452" i="7"/>
  <c r="J452" i="7"/>
  <c r="J451" i="7"/>
  <c r="K451" i="7" s="1"/>
  <c r="J450" i="7"/>
  <c r="K450" i="7" s="1"/>
  <c r="J449" i="7"/>
  <c r="K449" i="7" s="1"/>
  <c r="J448" i="7"/>
  <c r="K448" i="7" s="1"/>
  <c r="J447" i="7"/>
  <c r="K447" i="7" s="1"/>
  <c r="J446" i="7"/>
  <c r="K446" i="7" s="1"/>
  <c r="J445" i="7"/>
  <c r="K445" i="7" s="1"/>
  <c r="J444" i="7"/>
  <c r="K444" i="7" s="1"/>
  <c r="J443" i="7"/>
  <c r="K443" i="7" s="1"/>
  <c r="J442" i="7"/>
  <c r="K442" i="7" s="1"/>
  <c r="J441" i="7"/>
  <c r="K441" i="7" s="1"/>
  <c r="J440" i="7"/>
  <c r="K440" i="7" s="1"/>
  <c r="J439" i="7"/>
  <c r="K439" i="7" s="1"/>
  <c r="J438" i="7"/>
  <c r="K438" i="7" s="1"/>
  <c r="K437" i="7"/>
  <c r="J437" i="7"/>
  <c r="K436" i="7"/>
  <c r="J436" i="7"/>
  <c r="J435" i="7"/>
  <c r="K435" i="7" s="1"/>
  <c r="J434" i="7"/>
  <c r="K434" i="7" s="1"/>
  <c r="J433" i="7"/>
  <c r="K433" i="7" s="1"/>
  <c r="J432" i="7"/>
  <c r="K432" i="7" s="1"/>
  <c r="J431" i="7"/>
  <c r="K431" i="7" s="1"/>
  <c r="J430" i="7"/>
  <c r="K430" i="7" s="1"/>
  <c r="J429" i="7"/>
  <c r="K429" i="7" s="1"/>
  <c r="J428" i="7"/>
  <c r="K428" i="7" s="1"/>
  <c r="K427" i="7"/>
  <c r="J427" i="7"/>
  <c r="J426" i="7"/>
  <c r="K426" i="7" s="1"/>
  <c r="J425" i="7"/>
  <c r="K425" i="7" s="1"/>
  <c r="J424" i="7"/>
  <c r="K424" i="7" s="1"/>
  <c r="J423" i="7"/>
  <c r="K423" i="7" s="1"/>
  <c r="J422" i="7"/>
  <c r="K422" i="7" s="1"/>
  <c r="J421" i="7"/>
  <c r="K421" i="7" s="1"/>
  <c r="J420" i="7"/>
  <c r="K420" i="7" s="1"/>
  <c r="J419" i="7"/>
  <c r="K419" i="7" s="1"/>
  <c r="J418" i="7"/>
  <c r="K418" i="7" s="1"/>
  <c r="J417" i="7"/>
  <c r="K417" i="7" s="1"/>
  <c r="K416" i="7"/>
  <c r="J416" i="7"/>
  <c r="J415" i="7"/>
  <c r="K415" i="7" s="1"/>
  <c r="J414" i="7"/>
  <c r="K414" i="7" s="1"/>
  <c r="J413" i="7"/>
  <c r="K413" i="7" s="1"/>
  <c r="J412" i="7"/>
  <c r="K412" i="7" s="1"/>
  <c r="K411" i="7"/>
  <c r="J411" i="7"/>
  <c r="J410" i="7"/>
  <c r="K410" i="7" s="1"/>
  <c r="J409" i="7"/>
  <c r="K409" i="7" s="1"/>
  <c r="J408" i="7"/>
  <c r="K408" i="7" s="1"/>
  <c r="K407" i="7"/>
  <c r="J407" i="7"/>
  <c r="K406" i="7"/>
  <c r="J406" i="7"/>
  <c r="J405" i="7"/>
  <c r="K405" i="7" s="1"/>
  <c r="J404" i="7"/>
  <c r="K404" i="7" s="1"/>
  <c r="J403" i="7"/>
  <c r="K403" i="7" s="1"/>
  <c r="J402" i="7"/>
  <c r="K402" i="7" s="1"/>
  <c r="J401" i="7"/>
  <c r="K401" i="7" s="1"/>
  <c r="J400" i="7"/>
  <c r="K400" i="7" s="1"/>
  <c r="J399" i="7"/>
  <c r="K399" i="7" s="1"/>
  <c r="J398" i="7"/>
  <c r="K398" i="7" s="1"/>
  <c r="K397" i="7"/>
  <c r="J397" i="7"/>
  <c r="K396" i="7"/>
  <c r="J396" i="7"/>
  <c r="J395" i="7"/>
  <c r="K395" i="7" s="1"/>
  <c r="J394" i="7"/>
  <c r="K394" i="7" s="1"/>
  <c r="J393" i="7"/>
  <c r="K393" i="7" s="1"/>
  <c r="J392" i="7"/>
  <c r="K392" i="7" s="1"/>
  <c r="J391" i="7"/>
  <c r="K391" i="7" s="1"/>
  <c r="J390" i="7"/>
  <c r="K390" i="7" s="1"/>
  <c r="J389" i="7"/>
  <c r="K389" i="7" s="1"/>
  <c r="J388" i="7"/>
  <c r="K388" i="7" s="1"/>
  <c r="K387" i="7"/>
  <c r="J387" i="7"/>
  <c r="K386" i="7"/>
  <c r="J386" i="7"/>
  <c r="J385" i="7"/>
  <c r="K385" i="7" s="1"/>
  <c r="J384" i="7"/>
  <c r="K384" i="7" s="1"/>
  <c r="J383" i="7"/>
  <c r="K383" i="7" s="1"/>
  <c r="J382" i="7"/>
  <c r="K382" i="7" s="1"/>
  <c r="K381" i="7"/>
  <c r="J381" i="7"/>
  <c r="J380" i="7"/>
  <c r="K380" i="7" s="1"/>
  <c r="J379" i="7"/>
  <c r="K379" i="7" s="1"/>
  <c r="J378" i="7"/>
  <c r="K378" i="7" s="1"/>
  <c r="K377" i="7"/>
  <c r="J377" i="7"/>
  <c r="J376" i="7"/>
  <c r="K376" i="7" s="1"/>
  <c r="J375" i="7"/>
  <c r="K375" i="7" s="1"/>
  <c r="J374" i="7"/>
  <c r="K374" i="7" s="1"/>
  <c r="J373" i="7"/>
  <c r="K373" i="7" s="1"/>
  <c r="J372" i="7"/>
  <c r="K372" i="7" s="1"/>
  <c r="J371" i="7"/>
  <c r="K371" i="7" s="1"/>
  <c r="J370" i="7"/>
  <c r="K370" i="7" s="1"/>
  <c r="J369" i="7"/>
  <c r="K369" i="7" s="1"/>
  <c r="J368" i="7"/>
  <c r="K368" i="7" s="1"/>
  <c r="J367" i="7"/>
  <c r="K367" i="7" s="1"/>
  <c r="K366" i="7"/>
  <c r="J366" i="7"/>
  <c r="J365" i="7"/>
  <c r="K365" i="7" s="1"/>
  <c r="J364" i="7"/>
  <c r="K364" i="7" s="1"/>
  <c r="J363" i="7"/>
  <c r="K363" i="7" s="1"/>
  <c r="J362" i="7"/>
  <c r="K362" i="7" s="1"/>
  <c r="K361" i="7"/>
  <c r="J361" i="7"/>
  <c r="J360" i="7"/>
  <c r="K360" i="7" s="1"/>
  <c r="J359" i="7"/>
  <c r="K359" i="7" s="1"/>
  <c r="J358" i="7"/>
  <c r="K358" i="7" s="1"/>
  <c r="J357" i="7"/>
  <c r="K357" i="7" s="1"/>
  <c r="J356" i="7"/>
  <c r="K356" i="7" s="1"/>
  <c r="J355" i="7"/>
  <c r="K355" i="7" s="1"/>
  <c r="J354" i="7"/>
  <c r="K354" i="7" s="1"/>
  <c r="J353" i="7"/>
  <c r="K353" i="7" s="1"/>
  <c r="J352" i="7"/>
  <c r="K352" i="7" s="1"/>
  <c r="J351" i="7"/>
  <c r="K351" i="7" s="1"/>
  <c r="J350" i="7"/>
  <c r="K350" i="7" s="1"/>
  <c r="J349" i="7"/>
  <c r="K349" i="7" s="1"/>
  <c r="J348" i="7"/>
  <c r="K348" i="7" s="1"/>
  <c r="J347" i="7"/>
  <c r="K347" i="7" s="1"/>
  <c r="J346" i="7"/>
  <c r="K346" i="7" s="1"/>
  <c r="J345" i="7"/>
  <c r="K345" i="7" s="1"/>
  <c r="J344" i="7"/>
  <c r="K344" i="7" s="1"/>
  <c r="J343" i="7"/>
  <c r="K343" i="7" s="1"/>
  <c r="J342" i="7"/>
  <c r="K342" i="7" s="1"/>
  <c r="K341" i="7"/>
  <c r="J341" i="7"/>
  <c r="J340" i="7"/>
  <c r="K340" i="7" s="1"/>
  <c r="J339" i="7"/>
  <c r="K339" i="7" s="1"/>
  <c r="J338" i="7"/>
  <c r="K338" i="7" s="1"/>
  <c r="J337" i="7"/>
  <c r="K337" i="7" s="1"/>
  <c r="J336" i="7"/>
  <c r="K336" i="7" s="1"/>
  <c r="J335" i="7"/>
  <c r="K335" i="7" s="1"/>
  <c r="J334" i="7"/>
  <c r="K334" i="7" s="1"/>
  <c r="J333" i="7"/>
  <c r="K333" i="7" s="1"/>
  <c r="J332" i="7"/>
  <c r="K332" i="7" s="1"/>
  <c r="J331" i="7"/>
  <c r="K331" i="7" s="1"/>
  <c r="J330" i="7"/>
  <c r="K330" i="7" s="1"/>
  <c r="J329" i="7"/>
  <c r="K329" i="7" s="1"/>
  <c r="J328" i="7"/>
  <c r="K328" i="7" s="1"/>
  <c r="J327" i="7"/>
  <c r="K327" i="7" s="1"/>
  <c r="J326" i="7"/>
  <c r="K326" i="7" s="1"/>
  <c r="J325" i="7"/>
  <c r="K325" i="7" s="1"/>
  <c r="J324" i="7"/>
  <c r="K324" i="7" s="1"/>
  <c r="J323" i="7"/>
  <c r="K323" i="7" s="1"/>
  <c r="J322" i="7"/>
  <c r="K322" i="7" s="1"/>
  <c r="J321" i="7"/>
  <c r="K321" i="7" s="1"/>
  <c r="J320" i="7"/>
  <c r="K320" i="7" s="1"/>
  <c r="J319" i="7"/>
  <c r="K319" i="7" s="1"/>
  <c r="J318" i="7"/>
  <c r="K318" i="7" s="1"/>
  <c r="K317" i="7"/>
  <c r="J317" i="7"/>
  <c r="K316" i="7"/>
  <c r="J316" i="7"/>
  <c r="J315" i="7"/>
  <c r="K315" i="7" s="1"/>
  <c r="J314" i="7"/>
  <c r="K314" i="7" s="1"/>
  <c r="J313" i="7"/>
  <c r="K313" i="7" s="1"/>
  <c r="J312" i="7"/>
  <c r="K312" i="7" s="1"/>
  <c r="J311" i="7"/>
  <c r="K311" i="7" s="1"/>
  <c r="K310" i="7"/>
  <c r="J310" i="7"/>
  <c r="J309" i="7"/>
  <c r="K309" i="7" s="1"/>
  <c r="J308" i="7"/>
  <c r="K308" i="7" s="1"/>
  <c r="J307" i="7"/>
  <c r="K307" i="7" s="1"/>
  <c r="J306" i="7"/>
  <c r="K306" i="7" s="1"/>
  <c r="K305" i="7"/>
  <c r="J305" i="7"/>
  <c r="J304" i="7"/>
  <c r="K304" i="7" s="1"/>
  <c r="J303" i="7"/>
  <c r="K303" i="7" s="1"/>
  <c r="J302" i="7"/>
  <c r="K302" i="7" s="1"/>
  <c r="J301" i="7"/>
  <c r="K301" i="7" s="1"/>
  <c r="J300" i="7"/>
  <c r="K300" i="7" s="1"/>
  <c r="J299" i="7"/>
  <c r="K299" i="7" s="1"/>
  <c r="J298" i="7"/>
  <c r="K298" i="7" s="1"/>
  <c r="J297" i="7"/>
  <c r="K297" i="7" s="1"/>
  <c r="J296" i="7"/>
  <c r="K296" i="7" s="1"/>
  <c r="J295" i="7"/>
  <c r="K295" i="7" s="1"/>
  <c r="J294" i="7"/>
  <c r="K294" i="7" s="1"/>
  <c r="J293" i="7"/>
  <c r="K293" i="7" s="1"/>
  <c r="K292" i="7"/>
  <c r="J292" i="7"/>
  <c r="J291" i="7"/>
  <c r="K291" i="7" s="1"/>
  <c r="J290" i="7"/>
  <c r="K290" i="7" s="1"/>
  <c r="J289" i="7"/>
  <c r="K289" i="7" s="1"/>
  <c r="J288" i="7"/>
  <c r="K288" i="7" s="1"/>
  <c r="J287" i="7"/>
  <c r="K287" i="7" s="1"/>
  <c r="J286" i="7"/>
  <c r="K286" i="7" s="1"/>
  <c r="K285" i="7"/>
  <c r="J285" i="7"/>
  <c r="J284" i="7"/>
  <c r="K284" i="7" s="1"/>
  <c r="J283" i="7"/>
  <c r="K283" i="7" s="1"/>
  <c r="J282" i="7"/>
  <c r="K282" i="7" s="1"/>
  <c r="J281" i="7"/>
  <c r="K281" i="7" s="1"/>
  <c r="J280" i="7"/>
  <c r="K280" i="7" s="1"/>
  <c r="J279" i="7"/>
  <c r="K279" i="7" s="1"/>
  <c r="J278" i="7"/>
  <c r="K278" i="7" s="1"/>
  <c r="J277" i="7"/>
  <c r="K277" i="7" s="1"/>
  <c r="J276" i="7"/>
  <c r="K276" i="7" s="1"/>
  <c r="J275" i="7"/>
  <c r="K275" i="7" s="1"/>
  <c r="J274" i="7"/>
  <c r="K274" i="7" s="1"/>
  <c r="J273" i="7"/>
  <c r="K273" i="7" s="1"/>
  <c r="J272" i="7"/>
  <c r="K272" i="7" s="1"/>
  <c r="J271" i="7"/>
  <c r="K271" i="7" s="1"/>
  <c r="J270" i="7"/>
  <c r="K270" i="7" s="1"/>
  <c r="J269" i="7"/>
  <c r="K269" i="7" s="1"/>
  <c r="J268" i="7"/>
  <c r="K268" i="7" s="1"/>
  <c r="K267" i="7"/>
  <c r="J267" i="7"/>
  <c r="J266" i="7"/>
  <c r="K266" i="7" s="1"/>
  <c r="J265" i="7"/>
  <c r="K265" i="7" s="1"/>
  <c r="J264" i="7"/>
  <c r="K264" i="7" s="1"/>
  <c r="J263" i="7"/>
  <c r="K263" i="7" s="1"/>
  <c r="J262" i="7"/>
  <c r="K262" i="7" s="1"/>
  <c r="K261" i="7"/>
  <c r="J261" i="7"/>
  <c r="K260" i="7"/>
  <c r="J260" i="7"/>
  <c r="J259" i="7"/>
  <c r="K259" i="7" s="1"/>
  <c r="J258" i="7"/>
  <c r="K258" i="7" s="1"/>
  <c r="J257" i="7"/>
  <c r="K257" i="7" s="1"/>
  <c r="J256" i="7"/>
  <c r="K256" i="7" s="1"/>
  <c r="J255" i="7"/>
  <c r="K255" i="7" s="1"/>
  <c r="J254" i="7"/>
  <c r="K254" i="7" s="1"/>
  <c r="J253" i="7"/>
  <c r="K253" i="7" s="1"/>
  <c r="J252" i="7"/>
  <c r="K252" i="7" s="1"/>
  <c r="J251" i="7"/>
  <c r="K251" i="7" s="1"/>
  <c r="J250" i="7"/>
  <c r="K250" i="7" s="1"/>
  <c r="J249" i="7"/>
  <c r="K249" i="7" s="1"/>
  <c r="J248" i="7"/>
  <c r="K248" i="7" s="1"/>
  <c r="J247" i="7"/>
  <c r="K247" i="7" s="1"/>
  <c r="J246" i="7"/>
  <c r="K246" i="7" s="1"/>
  <c r="J245" i="7"/>
  <c r="K245" i="7" s="1"/>
  <c r="J244" i="7"/>
  <c r="K244" i="7" s="1"/>
  <c r="J243" i="7"/>
  <c r="K243" i="7" s="1"/>
  <c r="J242" i="7"/>
  <c r="K242" i="7" s="1"/>
  <c r="J241" i="7"/>
  <c r="K241" i="7" s="1"/>
  <c r="J240" i="7"/>
  <c r="K240" i="7" s="1"/>
  <c r="J239" i="7"/>
  <c r="K239" i="7" s="1"/>
  <c r="J238" i="7"/>
  <c r="K238" i="7" s="1"/>
  <c r="J237" i="7"/>
  <c r="K237" i="7" s="1"/>
  <c r="K236" i="7"/>
  <c r="J236" i="7"/>
  <c r="J235" i="7"/>
  <c r="K235" i="7" s="1"/>
  <c r="J234" i="7"/>
  <c r="K234" i="7" s="1"/>
  <c r="J233" i="7"/>
  <c r="K233" i="7" s="1"/>
  <c r="J232" i="7"/>
  <c r="K232" i="7" s="1"/>
  <c r="J231" i="7"/>
  <c r="K231" i="7" s="1"/>
  <c r="J230" i="7"/>
  <c r="K230" i="7" s="1"/>
  <c r="J229" i="7"/>
  <c r="K229" i="7" s="1"/>
  <c r="J228" i="7"/>
  <c r="K228" i="7" s="1"/>
  <c r="J227" i="7"/>
  <c r="K227" i="7" s="1"/>
  <c r="J226" i="7"/>
  <c r="K226" i="7" s="1"/>
  <c r="J225" i="7"/>
  <c r="K225" i="7" s="1"/>
  <c r="J224" i="7"/>
  <c r="K224" i="7" s="1"/>
  <c r="J223" i="7"/>
  <c r="K223" i="7" s="1"/>
  <c r="J222" i="7"/>
  <c r="K222" i="7" s="1"/>
  <c r="J221" i="7"/>
  <c r="K221" i="7" s="1"/>
  <c r="J220" i="7"/>
  <c r="K220" i="7" s="1"/>
  <c r="J219" i="7"/>
  <c r="K219" i="7" s="1"/>
  <c r="J218" i="7"/>
  <c r="K218" i="7" s="1"/>
  <c r="J217" i="7"/>
  <c r="K217" i="7" s="1"/>
  <c r="K216" i="7"/>
  <c r="J216" i="7"/>
  <c r="J215" i="7"/>
  <c r="K215" i="7" s="1"/>
  <c r="J214" i="7"/>
  <c r="K214" i="7" s="1"/>
  <c r="J213" i="7"/>
  <c r="K213" i="7" s="1"/>
  <c r="J212" i="7"/>
  <c r="K212" i="7" s="1"/>
  <c r="K211" i="7"/>
  <c r="J211" i="7"/>
  <c r="J210" i="7"/>
  <c r="K210" i="7" s="1"/>
  <c r="J209" i="7"/>
  <c r="K209" i="7" s="1"/>
  <c r="J208" i="7"/>
  <c r="K208" i="7" s="1"/>
  <c r="J207" i="7"/>
  <c r="K207" i="7" s="1"/>
  <c r="J206" i="7"/>
  <c r="K206" i="7" s="1"/>
  <c r="K205" i="7"/>
  <c r="J205" i="7"/>
  <c r="J204" i="7"/>
  <c r="K204" i="7" s="1"/>
  <c r="J203" i="7"/>
  <c r="K203" i="7" s="1"/>
  <c r="J202" i="7"/>
  <c r="K202" i="7" s="1"/>
  <c r="J201" i="7"/>
  <c r="K201" i="7" s="1"/>
  <c r="J200" i="7"/>
  <c r="K200" i="7" s="1"/>
  <c r="J199" i="7"/>
  <c r="K199" i="7" s="1"/>
  <c r="J198" i="7"/>
  <c r="K198" i="7" s="1"/>
  <c r="J197" i="7"/>
  <c r="K197" i="7" s="1"/>
  <c r="J196" i="7"/>
  <c r="K196" i="7" s="1"/>
  <c r="J195" i="7"/>
  <c r="K195" i="7" s="1"/>
  <c r="J194" i="7"/>
  <c r="K194" i="7" s="1"/>
  <c r="J193" i="7"/>
  <c r="K193" i="7" s="1"/>
  <c r="J192" i="7"/>
  <c r="K192" i="7" s="1"/>
  <c r="J191" i="7"/>
  <c r="K191" i="7" s="1"/>
  <c r="J190" i="7"/>
  <c r="K190" i="7" s="1"/>
  <c r="J189" i="7"/>
  <c r="K189" i="7" s="1"/>
  <c r="J188" i="7"/>
  <c r="K188" i="7" s="1"/>
  <c r="K187" i="7"/>
  <c r="J187" i="7"/>
  <c r="J186" i="7"/>
  <c r="K186" i="7" s="1"/>
  <c r="J185" i="7"/>
  <c r="K185" i="7" s="1"/>
  <c r="J184" i="7"/>
  <c r="K184" i="7" s="1"/>
  <c r="J183" i="7"/>
  <c r="K183" i="7" s="1"/>
  <c r="J182" i="7"/>
  <c r="K182" i="7" s="1"/>
  <c r="K181" i="7"/>
  <c r="J181" i="7"/>
  <c r="J180" i="7"/>
  <c r="K180" i="7" s="1"/>
  <c r="J179" i="7"/>
  <c r="K179" i="7" s="1"/>
  <c r="J178" i="7"/>
  <c r="K178" i="7" s="1"/>
  <c r="K177" i="7"/>
  <c r="J177" i="7"/>
  <c r="J176" i="7"/>
  <c r="K176" i="7" s="1"/>
  <c r="J175" i="7"/>
  <c r="K175" i="7" s="1"/>
  <c r="J174" i="7"/>
  <c r="K174" i="7" s="1"/>
  <c r="J173" i="7"/>
  <c r="K173" i="7" s="1"/>
  <c r="J172" i="7"/>
  <c r="K172" i="7" s="1"/>
  <c r="J171" i="7"/>
  <c r="K171" i="7" s="1"/>
  <c r="J170" i="7"/>
  <c r="K170" i="7" s="1"/>
  <c r="J169" i="7"/>
  <c r="K169" i="7" s="1"/>
  <c r="J168" i="7"/>
  <c r="K168" i="7" s="1"/>
  <c r="K167" i="7"/>
  <c r="J167" i="7"/>
  <c r="K166" i="7"/>
  <c r="J166" i="7"/>
  <c r="J165" i="7"/>
  <c r="K165" i="7" s="1"/>
  <c r="J164" i="7"/>
  <c r="K164" i="7" s="1"/>
  <c r="J163" i="7"/>
  <c r="K163" i="7" s="1"/>
  <c r="J162" i="7"/>
  <c r="K162" i="7" s="1"/>
  <c r="J161" i="7"/>
  <c r="K161" i="7" s="1"/>
  <c r="J160" i="7"/>
  <c r="K160" i="7" s="1"/>
  <c r="J159" i="7"/>
  <c r="K159" i="7" s="1"/>
  <c r="J158" i="7"/>
  <c r="K158" i="7" s="1"/>
  <c r="J157" i="7"/>
  <c r="K157" i="7" s="1"/>
  <c r="K156" i="7"/>
  <c r="J156" i="7"/>
  <c r="J155" i="7"/>
  <c r="K155" i="7" s="1"/>
  <c r="J154" i="7"/>
  <c r="K154" i="7" s="1"/>
  <c r="J153" i="7"/>
  <c r="K153" i="7" s="1"/>
  <c r="K152" i="7"/>
  <c r="J152" i="7"/>
  <c r="J151" i="7"/>
  <c r="K151" i="7" s="1"/>
  <c r="J150" i="7"/>
  <c r="K150" i="7" s="1"/>
  <c r="J149" i="7"/>
  <c r="K149" i="7" s="1"/>
  <c r="J148" i="7"/>
  <c r="K148" i="7" s="1"/>
  <c r="J147" i="7"/>
  <c r="K147" i="7" s="1"/>
  <c r="K146" i="7"/>
  <c r="J146" i="7"/>
  <c r="J145" i="7"/>
  <c r="K145" i="7" s="1"/>
  <c r="J144" i="7"/>
  <c r="K144" i="7" s="1"/>
  <c r="J143" i="7"/>
  <c r="K143" i="7" s="1"/>
  <c r="J142" i="7"/>
  <c r="K142" i="7" s="1"/>
  <c r="J141" i="7"/>
  <c r="K141" i="7" s="1"/>
  <c r="J140" i="7"/>
  <c r="K140" i="7" s="1"/>
  <c r="J139" i="7"/>
  <c r="K139" i="7" s="1"/>
  <c r="J138" i="7"/>
  <c r="K138" i="7" s="1"/>
  <c r="K137" i="7"/>
  <c r="J137" i="7"/>
  <c r="J136" i="7"/>
  <c r="K136" i="7" s="1"/>
  <c r="J135" i="7"/>
  <c r="K135" i="7" s="1"/>
  <c r="J134" i="7"/>
  <c r="K134" i="7" s="1"/>
  <c r="J133" i="7"/>
  <c r="K133" i="7" s="1"/>
  <c r="J132" i="7"/>
  <c r="K132" i="7" s="1"/>
  <c r="K131" i="7"/>
  <c r="J131" i="7"/>
  <c r="J130" i="7"/>
  <c r="K130" i="7" s="1"/>
  <c r="J129" i="7"/>
  <c r="K129" i="7" s="1"/>
  <c r="J128" i="7"/>
  <c r="K128" i="7" s="1"/>
  <c r="K127" i="7"/>
  <c r="J127" i="7"/>
  <c r="J126" i="7"/>
  <c r="K126" i="7" s="1"/>
  <c r="J125" i="7"/>
  <c r="K125" i="7" s="1"/>
  <c r="J124" i="7"/>
  <c r="K124" i="7" s="1"/>
  <c r="J123" i="7"/>
  <c r="K123" i="7" s="1"/>
  <c r="J122" i="7"/>
  <c r="K122" i="7" s="1"/>
  <c r="J121" i="7"/>
  <c r="K121" i="7" s="1"/>
  <c r="J120" i="7"/>
  <c r="K120" i="7" s="1"/>
  <c r="J119" i="7"/>
  <c r="K119" i="7" s="1"/>
  <c r="J118" i="7"/>
  <c r="K118" i="7" s="1"/>
  <c r="K117" i="7"/>
  <c r="J117" i="7"/>
  <c r="K116" i="7"/>
  <c r="J116" i="7"/>
  <c r="J115" i="7"/>
  <c r="K115" i="7" s="1"/>
  <c r="J114" i="7"/>
  <c r="K114" i="7" s="1"/>
  <c r="J113" i="7"/>
  <c r="K113" i="7" s="1"/>
  <c r="J112" i="7"/>
  <c r="K112" i="7" s="1"/>
  <c r="J111" i="7"/>
  <c r="K111" i="7" s="1"/>
  <c r="J110" i="7"/>
  <c r="K110" i="7" s="1"/>
  <c r="J109" i="7"/>
  <c r="K109" i="7" s="1"/>
  <c r="J108" i="7"/>
  <c r="K108" i="7" s="1"/>
  <c r="J107" i="7"/>
  <c r="K107" i="7" s="1"/>
  <c r="K106" i="7"/>
  <c r="J106" i="7"/>
  <c r="J105" i="7"/>
  <c r="K105" i="7" s="1"/>
  <c r="J104" i="7"/>
  <c r="K104" i="7" s="1"/>
  <c r="J103" i="7"/>
  <c r="K103" i="7" s="1"/>
  <c r="K102" i="7"/>
  <c r="J102" i="7"/>
  <c r="J101" i="7"/>
  <c r="K101" i="7" s="1"/>
  <c r="J100" i="7"/>
  <c r="K100" i="7" s="1"/>
  <c r="J99" i="7"/>
  <c r="K99" i="7" s="1"/>
  <c r="J98" i="7"/>
  <c r="K98" i="7" s="1"/>
  <c r="J97" i="7"/>
  <c r="K97" i="7" s="1"/>
  <c r="K96" i="7"/>
  <c r="J96" i="7"/>
  <c r="J95" i="7"/>
  <c r="K95" i="7" s="1"/>
  <c r="J94" i="7"/>
  <c r="K94" i="7" s="1"/>
  <c r="J93" i="7"/>
  <c r="K93" i="7" s="1"/>
  <c r="J92" i="7"/>
  <c r="K92" i="7" s="1"/>
  <c r="K91" i="7"/>
  <c r="J91" i="7"/>
  <c r="J90" i="7"/>
  <c r="K90" i="7" s="1"/>
  <c r="J89" i="7"/>
  <c r="K89" i="7" s="1"/>
  <c r="J88" i="7"/>
  <c r="K88" i="7" s="1"/>
  <c r="K87" i="7"/>
  <c r="J87" i="7"/>
  <c r="J86" i="7"/>
  <c r="K86" i="7" s="1"/>
  <c r="J85" i="7"/>
  <c r="K85" i="7" s="1"/>
  <c r="J84" i="7"/>
  <c r="K84" i="7" s="1"/>
  <c r="J83" i="7"/>
  <c r="K83" i="7" s="1"/>
  <c r="J82" i="7"/>
  <c r="K82" i="7" s="1"/>
  <c r="K81" i="7"/>
  <c r="J81" i="7"/>
  <c r="J80" i="7"/>
  <c r="K80" i="7" s="1"/>
  <c r="J79" i="7"/>
  <c r="K79" i="7" s="1"/>
  <c r="J78" i="7"/>
  <c r="K78" i="7" s="1"/>
  <c r="K77" i="7"/>
  <c r="J77" i="7"/>
  <c r="J76" i="7"/>
  <c r="K76" i="7" s="1"/>
  <c r="J75" i="7"/>
  <c r="K75" i="7" s="1"/>
  <c r="J74" i="7"/>
  <c r="K74" i="7" s="1"/>
  <c r="J73" i="7"/>
  <c r="K73" i="7" s="1"/>
  <c r="J72" i="7"/>
  <c r="K72" i="7" s="1"/>
  <c r="J71" i="7"/>
  <c r="K71" i="7" s="1"/>
  <c r="J70" i="7"/>
  <c r="K70" i="7" s="1"/>
  <c r="J69" i="7"/>
  <c r="K69" i="7" s="1"/>
  <c r="J68" i="7"/>
  <c r="K68" i="7" s="1"/>
  <c r="K67" i="7"/>
  <c r="J67" i="7"/>
  <c r="K66" i="7"/>
  <c r="J66" i="7"/>
  <c r="J65" i="7"/>
  <c r="K65" i="7" s="1"/>
  <c r="J64" i="7"/>
  <c r="K64" i="7" s="1"/>
  <c r="J63" i="7"/>
  <c r="K63" i="7" s="1"/>
  <c r="K62" i="7"/>
  <c r="J62" i="7"/>
  <c r="J61" i="7"/>
  <c r="K61" i="7" s="1"/>
  <c r="J60" i="7"/>
  <c r="K60" i="7" s="1"/>
  <c r="J59" i="7"/>
  <c r="K59" i="7" s="1"/>
  <c r="J58" i="7"/>
  <c r="K58" i="7" s="1"/>
  <c r="J57" i="7"/>
  <c r="K57" i="7" s="1"/>
  <c r="K56" i="7"/>
  <c r="J56" i="7"/>
  <c r="J55" i="7"/>
  <c r="K55" i="7" s="1"/>
  <c r="J54" i="7"/>
  <c r="K54" i="7" s="1"/>
  <c r="J53" i="7"/>
  <c r="K53" i="7" s="1"/>
  <c r="K52" i="7"/>
  <c r="J52" i="7"/>
  <c r="J51" i="7"/>
  <c r="K51" i="7" s="1"/>
  <c r="J50" i="7"/>
  <c r="K50" i="7" s="1"/>
  <c r="J49" i="7"/>
  <c r="K49" i="7" s="1"/>
  <c r="J48" i="7"/>
  <c r="K48" i="7" s="1"/>
  <c r="J47" i="7"/>
  <c r="K47" i="7" s="1"/>
  <c r="K46" i="7"/>
  <c r="J46" i="7"/>
  <c r="J45" i="7"/>
  <c r="K45" i="7" s="1"/>
  <c r="J44" i="7"/>
  <c r="K44" i="7" s="1"/>
  <c r="J43" i="7"/>
  <c r="K43" i="7" s="1"/>
  <c r="J42" i="7"/>
  <c r="K42" i="7" s="1"/>
  <c r="K41" i="7"/>
  <c r="J41" i="7"/>
  <c r="J40" i="7"/>
  <c r="K40" i="7" s="1"/>
  <c r="J39" i="7"/>
  <c r="K39" i="7" s="1"/>
  <c r="J38" i="7"/>
  <c r="K38" i="7" s="1"/>
  <c r="K37" i="7"/>
  <c r="J37" i="7"/>
  <c r="J36" i="7"/>
  <c r="K36" i="7" s="1"/>
  <c r="J35" i="7"/>
  <c r="K35" i="7" s="1"/>
  <c r="J34" i="7"/>
  <c r="K34" i="7" s="1"/>
  <c r="J33" i="7"/>
  <c r="K33" i="7" s="1"/>
  <c r="J32" i="7"/>
  <c r="K32" i="7" s="1"/>
  <c r="K31" i="7"/>
  <c r="J31" i="7"/>
  <c r="J30" i="7"/>
  <c r="K30" i="7" s="1"/>
  <c r="J29" i="7"/>
  <c r="K29" i="7" s="1"/>
  <c r="J28" i="7"/>
  <c r="K28" i="7" s="1"/>
  <c r="K27" i="7"/>
  <c r="J27" i="7"/>
  <c r="J26" i="7"/>
  <c r="K26" i="7" s="1"/>
  <c r="J25" i="7"/>
  <c r="K25" i="7" s="1"/>
  <c r="J24" i="7"/>
  <c r="K24" i="7" s="1"/>
  <c r="J23" i="7"/>
  <c r="K23" i="7" s="1"/>
  <c r="J22" i="7"/>
  <c r="K22" i="7" s="1"/>
  <c r="J21" i="7"/>
  <c r="K21" i="7" s="1"/>
  <c r="J20" i="7"/>
  <c r="K20" i="7" s="1"/>
  <c r="J19" i="7"/>
  <c r="K19" i="7" s="1"/>
  <c r="J18" i="7"/>
  <c r="K18" i="7" s="1"/>
  <c r="K17" i="7"/>
  <c r="J17" i="7"/>
  <c r="K16" i="7"/>
  <c r="J16" i="7"/>
  <c r="J15" i="7"/>
  <c r="K15" i="7" s="1"/>
  <c r="J14" i="7"/>
  <c r="K14" i="7" s="1"/>
  <c r="J13" i="7"/>
  <c r="K13" i="7" s="1"/>
  <c r="K12" i="7"/>
  <c r="J12" i="7"/>
  <c r="J11" i="7"/>
  <c r="K11" i="7" s="1"/>
  <c r="J10" i="7"/>
  <c r="K10" i="7" s="1"/>
  <c r="J9" i="7"/>
  <c r="K9" i="7" s="1"/>
  <c r="J8" i="7"/>
  <c r="K8" i="7" s="1"/>
  <c r="J7" i="7"/>
  <c r="K7" i="7" s="1"/>
  <c r="K6" i="7"/>
  <c r="J6" i="7"/>
  <c r="D51" i="4"/>
  <c r="D46" i="4"/>
  <c r="D45" i="4"/>
  <c r="E44" i="4"/>
  <c r="D43" i="4"/>
  <c r="E42" i="4"/>
  <c r="D42" i="4"/>
  <c r="E40" i="4"/>
  <c r="D40" i="4"/>
  <c r="E36" i="4"/>
  <c r="E34" i="4"/>
  <c r="C32" i="4"/>
  <c r="D28" i="4"/>
  <c r="E26" i="4"/>
  <c r="D24" i="4"/>
  <c r="D18" i="4"/>
  <c r="E16" i="4"/>
  <c r="D14" i="4"/>
  <c r="D8" i="4"/>
  <c r="E6" i="4"/>
  <c r="L35" i="3"/>
  <c r="K35" i="3"/>
  <c r="J35" i="3"/>
  <c r="I35" i="3"/>
  <c r="H35" i="3"/>
  <c r="G35" i="3"/>
  <c r="F35" i="3"/>
  <c r="D65" i="4" s="1"/>
  <c r="E35" i="3"/>
  <c r="D35" i="3"/>
  <c r="C35" i="3"/>
  <c r="D64" i="4" s="1"/>
  <c r="L34" i="3"/>
  <c r="K34" i="3"/>
  <c r="J34" i="3"/>
  <c r="I34" i="3"/>
  <c r="H34" i="3"/>
  <c r="G34" i="3"/>
  <c r="F34" i="3"/>
  <c r="D63" i="4" s="1"/>
  <c r="E34" i="3"/>
  <c r="D34" i="3"/>
  <c r="C34" i="3"/>
  <c r="E62" i="4" s="1"/>
  <c r="L33" i="3"/>
  <c r="K33" i="3"/>
  <c r="J33" i="3"/>
  <c r="I33" i="3"/>
  <c r="H33" i="3"/>
  <c r="G33" i="3"/>
  <c r="F33" i="3"/>
  <c r="E60" i="4" s="1"/>
  <c r="E33" i="3"/>
  <c r="D33" i="3"/>
  <c r="C33" i="3"/>
  <c r="C60" i="4" s="1"/>
  <c r="L32" i="3"/>
  <c r="K32" i="3"/>
  <c r="J32" i="3"/>
  <c r="I32" i="3"/>
  <c r="H32" i="3"/>
  <c r="G32" i="3"/>
  <c r="F32" i="3"/>
  <c r="D59" i="4" s="1"/>
  <c r="E32" i="3"/>
  <c r="D32" i="3"/>
  <c r="C32" i="3"/>
  <c r="E58" i="4" s="1"/>
  <c r="L31" i="3"/>
  <c r="K31" i="3"/>
  <c r="J31" i="3"/>
  <c r="I31" i="3"/>
  <c r="H31" i="3"/>
  <c r="G31" i="3"/>
  <c r="F31" i="3"/>
  <c r="D57" i="4" s="1"/>
  <c r="E31" i="3"/>
  <c r="D31" i="3"/>
  <c r="C31" i="3"/>
  <c r="D56" i="4" s="1"/>
  <c r="L30" i="3"/>
  <c r="K30" i="3"/>
  <c r="J30" i="3"/>
  <c r="I30" i="3"/>
  <c r="D55" i="4" s="1"/>
  <c r="H30" i="3"/>
  <c r="G30" i="3"/>
  <c r="F30" i="3"/>
  <c r="E54" i="4" s="1"/>
  <c r="E30" i="3"/>
  <c r="D30" i="3"/>
  <c r="C30" i="3"/>
  <c r="D54" i="4" s="1"/>
  <c r="K29" i="3"/>
  <c r="I29" i="3"/>
  <c r="H29" i="3"/>
  <c r="G29" i="3"/>
  <c r="F29" i="3"/>
  <c r="E29" i="3"/>
  <c r="C52" i="4" s="1"/>
  <c r="D29" i="3"/>
  <c r="C29" i="3"/>
  <c r="E52" i="4" s="1"/>
  <c r="K28" i="3"/>
  <c r="J28" i="3"/>
  <c r="I28" i="3"/>
  <c r="H28" i="3"/>
  <c r="G28" i="3"/>
  <c r="F28" i="3"/>
  <c r="E28" i="3"/>
  <c r="D28" i="3"/>
  <c r="L28" i="3" s="1"/>
  <c r="C28" i="3"/>
  <c r="C50" i="4" s="1"/>
  <c r="K27" i="3"/>
  <c r="J27" i="3"/>
  <c r="I27" i="3"/>
  <c r="H27" i="3"/>
  <c r="G27" i="3"/>
  <c r="F27" i="3"/>
  <c r="E27" i="3"/>
  <c r="D27" i="3"/>
  <c r="D48" i="4" s="1"/>
  <c r="C27" i="3"/>
  <c r="E48" i="4" s="1"/>
  <c r="K26" i="3"/>
  <c r="J26" i="3"/>
  <c r="I26" i="3"/>
  <c r="H26" i="3"/>
  <c r="G26" i="3"/>
  <c r="F26" i="3"/>
  <c r="E26" i="3"/>
  <c r="D26" i="3"/>
  <c r="C46" i="4" s="1"/>
  <c r="C26" i="3"/>
  <c r="E46" i="4" s="1"/>
  <c r="L25" i="3"/>
  <c r="K25" i="3"/>
  <c r="J25" i="3"/>
  <c r="I25" i="3"/>
  <c r="H25" i="3"/>
  <c r="G25" i="3"/>
  <c r="F25" i="3"/>
  <c r="D44" i="4" s="1"/>
  <c r="L24" i="3"/>
  <c r="K24" i="3"/>
  <c r="J24" i="3"/>
  <c r="I24" i="3"/>
  <c r="H24" i="3"/>
  <c r="G24" i="3"/>
  <c r="C42" i="4" s="1"/>
  <c r="F24" i="3"/>
  <c r="K23" i="3"/>
  <c r="J23" i="3"/>
  <c r="I23" i="3"/>
  <c r="H23" i="3"/>
  <c r="G23" i="3"/>
  <c r="F23" i="3"/>
  <c r="C40" i="4" s="1"/>
  <c r="E23" i="3"/>
  <c r="D23" i="3"/>
  <c r="L23" i="3" s="1"/>
  <c r="C23" i="3"/>
  <c r="K22" i="3"/>
  <c r="J22" i="3"/>
  <c r="I22" i="3"/>
  <c r="D39" i="4" s="1"/>
  <c r="H22" i="3"/>
  <c r="G22" i="3"/>
  <c r="F22" i="3"/>
  <c r="E22" i="3"/>
  <c r="D22" i="3"/>
  <c r="L22" i="3" s="1"/>
  <c r="C22" i="3"/>
  <c r="E38" i="4" s="1"/>
  <c r="K21" i="3"/>
  <c r="J21" i="3"/>
  <c r="I21" i="3"/>
  <c r="D37" i="4" s="1"/>
  <c r="H21" i="3"/>
  <c r="G21" i="3"/>
  <c r="F21" i="3"/>
  <c r="E21" i="3"/>
  <c r="D21" i="3"/>
  <c r="L21" i="3" s="1"/>
  <c r="C21" i="3"/>
  <c r="C36" i="4" s="1"/>
  <c r="K20" i="3"/>
  <c r="J20" i="3"/>
  <c r="I20" i="3"/>
  <c r="H20" i="3"/>
  <c r="G20" i="3"/>
  <c r="F20" i="3"/>
  <c r="D34" i="4" s="1"/>
  <c r="E20" i="3"/>
  <c r="D20" i="3"/>
  <c r="L20" i="3" s="1"/>
  <c r="C20" i="3"/>
  <c r="K19" i="3"/>
  <c r="J19" i="3"/>
  <c r="I19" i="3"/>
  <c r="D33" i="4" s="1"/>
  <c r="H19" i="3"/>
  <c r="G19" i="3"/>
  <c r="F19" i="3"/>
  <c r="E19" i="3"/>
  <c r="D19" i="3"/>
  <c r="L19" i="3" s="1"/>
  <c r="C19" i="3"/>
  <c r="E32" i="4" s="1"/>
  <c r="K18" i="3"/>
  <c r="J18" i="3"/>
  <c r="I18" i="3"/>
  <c r="D31" i="4" s="1"/>
  <c r="H18" i="3"/>
  <c r="G18" i="3"/>
  <c r="F18" i="3"/>
  <c r="E18" i="3"/>
  <c r="D18" i="3"/>
  <c r="L18" i="3" s="1"/>
  <c r="C18" i="3"/>
  <c r="C30" i="4" s="1"/>
  <c r="K17" i="3"/>
  <c r="J17" i="3"/>
  <c r="I17" i="3"/>
  <c r="H17" i="3"/>
  <c r="G17" i="3"/>
  <c r="F17" i="3"/>
  <c r="E28" i="4" s="1"/>
  <c r="E17" i="3"/>
  <c r="D17" i="3"/>
  <c r="L17" i="3" s="1"/>
  <c r="C17" i="3"/>
  <c r="K16" i="3"/>
  <c r="J16" i="3"/>
  <c r="I16" i="3"/>
  <c r="H16" i="3"/>
  <c r="G16" i="3"/>
  <c r="F16" i="3"/>
  <c r="D26" i="4" s="1"/>
  <c r="E16" i="3"/>
  <c r="D16" i="3"/>
  <c r="L16" i="3" s="1"/>
  <c r="C16" i="3"/>
  <c r="K15" i="3"/>
  <c r="J15" i="3"/>
  <c r="I15" i="3"/>
  <c r="D25" i="4" s="1"/>
  <c r="H15" i="3"/>
  <c r="C24" i="4" s="1"/>
  <c r="G15" i="3"/>
  <c r="F15" i="3"/>
  <c r="E15" i="3"/>
  <c r="D15" i="3"/>
  <c r="L15" i="3" s="1"/>
  <c r="C15" i="3"/>
  <c r="E24" i="4" s="1"/>
  <c r="K14" i="3"/>
  <c r="J14" i="3"/>
  <c r="I14" i="3"/>
  <c r="D23" i="4" s="1"/>
  <c r="H14" i="3"/>
  <c r="G14" i="3"/>
  <c r="F14" i="3"/>
  <c r="E14" i="3"/>
  <c r="D14" i="3"/>
  <c r="L14" i="3" s="1"/>
  <c r="C14" i="3"/>
  <c r="E22" i="4" s="1"/>
  <c r="K13" i="3"/>
  <c r="J13" i="3"/>
  <c r="I13" i="3"/>
  <c r="D21" i="4" s="1"/>
  <c r="H13" i="3"/>
  <c r="G13" i="3"/>
  <c r="F13" i="3"/>
  <c r="E13" i="3"/>
  <c r="D13" i="3"/>
  <c r="L13" i="3" s="1"/>
  <c r="C13" i="3"/>
  <c r="C20" i="4" s="1"/>
  <c r="K12" i="3"/>
  <c r="I12" i="3"/>
  <c r="H12" i="3"/>
  <c r="G12" i="3"/>
  <c r="F12" i="3"/>
  <c r="E18" i="4" s="1"/>
  <c r="E12" i="3"/>
  <c r="D12" i="3"/>
  <c r="C12" i="3"/>
  <c r="K11" i="3"/>
  <c r="J11" i="3"/>
  <c r="I11" i="3"/>
  <c r="H11" i="3"/>
  <c r="G11" i="3"/>
  <c r="F11" i="3"/>
  <c r="D16" i="4" s="1"/>
  <c r="E11" i="3"/>
  <c r="D11" i="3"/>
  <c r="L11" i="3" s="1"/>
  <c r="C11" i="3"/>
  <c r="K10" i="3"/>
  <c r="J10" i="3"/>
  <c r="I10" i="3"/>
  <c r="D15" i="4" s="1"/>
  <c r="H10" i="3"/>
  <c r="C14" i="4" s="1"/>
  <c r="G10" i="3"/>
  <c r="F10" i="3"/>
  <c r="E10" i="3"/>
  <c r="D10" i="3"/>
  <c r="L10" i="3" s="1"/>
  <c r="C10" i="3"/>
  <c r="E14" i="4" s="1"/>
  <c r="K9" i="3"/>
  <c r="J9" i="3"/>
  <c r="I9" i="3"/>
  <c r="D13" i="4" s="1"/>
  <c r="H9" i="3"/>
  <c r="G9" i="3"/>
  <c r="F9" i="3"/>
  <c r="E9" i="3"/>
  <c r="D9" i="3"/>
  <c r="L9" i="3" s="1"/>
  <c r="C9" i="3"/>
  <c r="E12" i="4" s="1"/>
  <c r="K8" i="3"/>
  <c r="J8" i="3"/>
  <c r="I8" i="3"/>
  <c r="D11" i="4" s="1"/>
  <c r="H8" i="3"/>
  <c r="G8" i="3"/>
  <c r="F8" i="3"/>
  <c r="E8" i="3"/>
  <c r="D8" i="3"/>
  <c r="L8" i="3" s="1"/>
  <c r="C8" i="3"/>
  <c r="C10" i="4" s="1"/>
  <c r="K7" i="3"/>
  <c r="J7" i="3"/>
  <c r="I7" i="3"/>
  <c r="H7" i="3"/>
  <c r="G7" i="3"/>
  <c r="F7" i="3"/>
  <c r="E8" i="4" s="1"/>
  <c r="E7" i="3"/>
  <c r="D7" i="3"/>
  <c r="L7" i="3" s="1"/>
  <c r="C7" i="3"/>
  <c r="K6" i="3"/>
  <c r="J6" i="3"/>
  <c r="I6" i="3"/>
  <c r="H6" i="3"/>
  <c r="G6" i="3"/>
  <c r="F6" i="3"/>
  <c r="D6" i="4" s="1"/>
  <c r="E6" i="3"/>
  <c r="D6" i="3"/>
  <c r="L6" i="3" s="1"/>
  <c r="C6" i="3"/>
  <c r="D15" i="2"/>
  <c r="C15" i="2"/>
  <c r="F15" i="2" s="1"/>
  <c r="B15" i="2"/>
  <c r="E15" i="2" s="1"/>
  <c r="D14" i="2"/>
  <c r="C14" i="2"/>
  <c r="F14" i="2" s="1"/>
  <c r="B14" i="2"/>
  <c r="E14" i="2" s="1"/>
  <c r="D13" i="2"/>
  <c r="C13" i="2"/>
  <c r="F13" i="2" s="1"/>
  <c r="B13" i="2"/>
  <c r="E13" i="2" s="1"/>
  <c r="D12" i="2"/>
  <c r="C12" i="2"/>
  <c r="F12" i="2" s="1"/>
  <c r="B12" i="2"/>
  <c r="E12" i="2" s="1"/>
  <c r="D11" i="2"/>
  <c r="C11" i="2"/>
  <c r="F11" i="2" s="1"/>
  <c r="B11" i="2"/>
  <c r="E11" i="2" s="1"/>
  <c r="D10" i="2"/>
  <c r="C10" i="2"/>
  <c r="F10" i="2" s="1"/>
  <c r="B10" i="2"/>
  <c r="E10" i="2" s="1"/>
  <c r="D9" i="2"/>
  <c r="C9" i="2"/>
  <c r="F9" i="2" s="1"/>
  <c r="B9" i="2"/>
  <c r="E9" i="2" s="1"/>
  <c r="D8" i="2"/>
  <c r="C8" i="2"/>
  <c r="F8" i="2" s="1"/>
  <c r="B8" i="2"/>
  <c r="E8" i="2" s="1"/>
  <c r="D7" i="2"/>
  <c r="C7" i="2"/>
  <c r="F7" i="2" s="1"/>
  <c r="B7" i="2"/>
  <c r="E7" i="2" s="1"/>
  <c r="D6" i="2"/>
  <c r="D17" i="2" s="1"/>
  <c r="C6" i="2"/>
  <c r="F6" i="2" s="1"/>
  <c r="B6" i="2"/>
  <c r="E6" i="2" s="1"/>
  <c r="G25" i="1"/>
  <c r="H24" i="1"/>
  <c r="G24" i="1"/>
  <c r="H23" i="1"/>
  <c r="G23" i="1"/>
  <c r="D16" i="1"/>
  <c r="C16" i="1"/>
  <c r="B16" i="1"/>
  <c r="C10" i="1"/>
  <c r="C11" i="1" s="1"/>
  <c r="B10" i="1"/>
  <c r="B11" i="1" s="1"/>
  <c r="D9" i="1"/>
  <c r="C9" i="1"/>
  <c r="B9" i="1"/>
  <c r="D8" i="1"/>
  <c r="C8" i="1"/>
  <c r="B8" i="1"/>
  <c r="D7" i="1"/>
  <c r="C7" i="1"/>
  <c r="B7" i="1"/>
  <c r="D6" i="1"/>
  <c r="D10" i="1" s="1"/>
  <c r="D11" i="1" s="1"/>
  <c r="C6" i="1"/>
  <c r="C18" i="2" s="1"/>
  <c r="B6" i="1"/>
  <c r="B18" i="2" s="1"/>
  <c r="L29" i="3" l="1"/>
  <c r="F40" i="4"/>
  <c r="G40" i="4" s="1"/>
  <c r="F46" i="4"/>
  <c r="G46" i="4" s="1"/>
  <c r="G42" i="4"/>
  <c r="F42" i="4"/>
  <c r="F10" i="4"/>
  <c r="G10" i="4" s="1"/>
  <c r="F32" i="4"/>
  <c r="F20" i="4"/>
  <c r="G20" i="4" s="1"/>
  <c r="L12" i="3"/>
  <c r="F14" i="4"/>
  <c r="G14" i="4" s="1"/>
  <c r="F24" i="4"/>
  <c r="G24" i="4" s="1"/>
  <c r="F60" i="4"/>
  <c r="G60" i="4" s="1"/>
  <c r="H25" i="1"/>
  <c r="E45" i="4"/>
  <c r="C45" i="4"/>
  <c r="E47" i="4"/>
  <c r="C47" i="4"/>
  <c r="E49" i="4"/>
  <c r="C49" i="4"/>
  <c r="E51" i="4"/>
  <c r="C51" i="4"/>
  <c r="J29" i="3"/>
  <c r="D53" i="4" s="1"/>
  <c r="D10" i="4"/>
  <c r="D20" i="4"/>
  <c r="D30" i="4"/>
  <c r="D47" i="4"/>
  <c r="D50" i="4"/>
  <c r="C56" i="4"/>
  <c r="E64" i="4"/>
  <c r="B17" i="2"/>
  <c r="B19" i="2" s="1"/>
  <c r="C8" i="4"/>
  <c r="E10" i="4"/>
  <c r="C18" i="4"/>
  <c r="E20" i="4"/>
  <c r="C28" i="4"/>
  <c r="E30" i="4"/>
  <c r="F30" i="4" s="1"/>
  <c r="G30" i="4" s="1"/>
  <c r="D36" i="4"/>
  <c r="F36" i="4" s="1"/>
  <c r="E50" i="4"/>
  <c r="C62" i="4"/>
  <c r="C17" i="2"/>
  <c r="C19" i="2" s="1"/>
  <c r="C48" i="4"/>
  <c r="E56" i="4"/>
  <c r="D62" i="4"/>
  <c r="E43" i="4"/>
  <c r="C43" i="4"/>
  <c r="L26" i="3"/>
  <c r="L27" i="3"/>
  <c r="C6" i="4"/>
  <c r="C16" i="4"/>
  <c r="C26" i="4"/>
  <c r="C34" i="4"/>
  <c r="C54" i="4"/>
  <c r="D60" i="4"/>
  <c r="D18" i="2"/>
  <c r="D19" i="2" s="1"/>
  <c r="E7" i="4"/>
  <c r="C7" i="4"/>
  <c r="E9" i="4"/>
  <c r="C9" i="4"/>
  <c r="E11" i="4"/>
  <c r="C11" i="4"/>
  <c r="E13" i="4"/>
  <c r="C13" i="4"/>
  <c r="E15" i="4"/>
  <c r="C15" i="4"/>
  <c r="E17" i="4"/>
  <c r="C17" i="4"/>
  <c r="E19" i="4"/>
  <c r="C19" i="4"/>
  <c r="E21" i="4"/>
  <c r="C21" i="4"/>
  <c r="E23" i="4"/>
  <c r="C23" i="4"/>
  <c r="E25" i="4"/>
  <c r="C25" i="4"/>
  <c r="E27" i="4"/>
  <c r="C27" i="4"/>
  <c r="E29" i="4"/>
  <c r="C29" i="4"/>
  <c r="E31" i="4"/>
  <c r="C31" i="4"/>
  <c r="E33" i="4"/>
  <c r="C33" i="4"/>
  <c r="E35" i="4"/>
  <c r="C35" i="4"/>
  <c r="E37" i="4"/>
  <c r="C37" i="4"/>
  <c r="E39" i="4"/>
  <c r="C39" i="4"/>
  <c r="E41" i="4"/>
  <c r="C41" i="4"/>
  <c r="D9" i="4"/>
  <c r="D29" i="4"/>
  <c r="J12" i="3"/>
  <c r="D19" i="4" s="1"/>
  <c r="C12" i="4"/>
  <c r="C22" i="4"/>
  <c r="D32" i="4"/>
  <c r="G32" i="4" s="1"/>
  <c r="C38" i="4"/>
  <c r="D49" i="4"/>
  <c r="D52" i="4"/>
  <c r="F52" i="4" s="1"/>
  <c r="C58" i="4"/>
  <c r="D7" i="4"/>
  <c r="D12" i="4"/>
  <c r="D17" i="4"/>
  <c r="D22" i="4"/>
  <c r="D27" i="4"/>
  <c r="D35" i="4"/>
  <c r="D38" i="4"/>
  <c r="C44" i="4"/>
  <c r="D58" i="4"/>
  <c r="C64" i="4"/>
  <c r="E55" i="4"/>
  <c r="C55" i="4"/>
  <c r="E57" i="4"/>
  <c r="C57" i="4"/>
  <c r="E59" i="4"/>
  <c r="C59" i="4"/>
  <c r="E61" i="4"/>
  <c r="C61" i="4"/>
  <c r="E63" i="4"/>
  <c r="C63" i="4"/>
  <c r="E65" i="4"/>
  <c r="C65" i="4"/>
  <c r="D41" i="4"/>
  <c r="D61" i="4"/>
  <c r="F16" i="4" l="1"/>
  <c r="G16" i="4" s="1"/>
  <c r="F38" i="4"/>
  <c r="G38" i="4" s="1"/>
  <c r="F9" i="4"/>
  <c r="G9" i="4" s="1"/>
  <c r="F51" i="4"/>
  <c r="G51" i="4" s="1"/>
  <c r="G63" i="4"/>
  <c r="F63" i="4"/>
  <c r="F64" i="4"/>
  <c r="G64" i="4" s="1"/>
  <c r="F58" i="4"/>
  <c r="G58" i="4" s="1"/>
  <c r="F34" i="4"/>
  <c r="G34" i="4" s="1"/>
  <c r="F48" i="4"/>
  <c r="G48" i="4" s="1"/>
  <c r="G8" i="4"/>
  <c r="F8" i="4"/>
  <c r="C53" i="4"/>
  <c r="F31" i="4"/>
  <c r="G31" i="4" s="1"/>
  <c r="F41" i="4"/>
  <c r="G41" i="4" s="1"/>
  <c r="F21" i="4"/>
  <c r="G21" i="4" s="1"/>
  <c r="F11" i="4"/>
  <c r="G11" i="4" s="1"/>
  <c r="F26" i="4"/>
  <c r="G26" i="4" s="1"/>
  <c r="F61" i="4"/>
  <c r="G61" i="4" s="1"/>
  <c r="F62" i="4"/>
  <c r="G62" i="4" s="1"/>
  <c r="F39" i="4"/>
  <c r="G39" i="4" s="1"/>
  <c r="F6" i="4"/>
  <c r="G6" i="4" s="1"/>
  <c r="F17" i="4"/>
  <c r="G17" i="4"/>
  <c r="F19" i="4"/>
  <c r="G19" i="4" s="1"/>
  <c r="F37" i="4"/>
  <c r="G37" i="4" s="1"/>
  <c r="F49" i="4"/>
  <c r="G49" i="4" s="1"/>
  <c r="F28" i="4"/>
  <c r="G28" i="4" s="1"/>
  <c r="G52" i="4"/>
  <c r="F35" i="4"/>
  <c r="G35" i="4" s="1"/>
  <c r="F25" i="4"/>
  <c r="G25" i="4" s="1"/>
  <c r="F15" i="4"/>
  <c r="G15" i="4" s="1"/>
  <c r="F47" i="4"/>
  <c r="G47" i="4" s="1"/>
  <c r="G36" i="4"/>
  <c r="F50" i="4"/>
  <c r="G50" i="4" s="1"/>
  <c r="G44" i="4"/>
  <c r="F44" i="4"/>
  <c r="E53" i="4"/>
  <c r="F29" i="4"/>
  <c r="G29" i="4" s="1"/>
  <c r="F56" i="4"/>
  <c r="G56" i="4" s="1"/>
  <c r="F59" i="4"/>
  <c r="G59" i="4" s="1"/>
  <c r="F22" i="4"/>
  <c r="G22" i="4" s="1"/>
  <c r="F27" i="4"/>
  <c r="G27" i="4"/>
  <c r="F7" i="4"/>
  <c r="G7" i="4"/>
  <c r="F57" i="4"/>
  <c r="G57" i="4" s="1"/>
  <c r="F12" i="4"/>
  <c r="G12" i="4" s="1"/>
  <c r="F43" i="4"/>
  <c r="G43" i="4" s="1"/>
  <c r="F65" i="4"/>
  <c r="G65" i="4" s="1"/>
  <c r="F18" i="4"/>
  <c r="G18" i="4" s="1"/>
  <c r="F55" i="4"/>
  <c r="G55" i="4" s="1"/>
  <c r="F33" i="4"/>
  <c r="G33" i="4" s="1"/>
  <c r="F23" i="4"/>
  <c r="G23" i="4" s="1"/>
  <c r="F13" i="4"/>
  <c r="G13" i="4" s="1"/>
  <c r="F54" i="4"/>
  <c r="G54" i="4" s="1"/>
  <c r="F45" i="4"/>
  <c r="G45" i="4" s="1"/>
  <c r="F53" i="4" l="1"/>
  <c r="G53" i="4" s="1"/>
</calcChain>
</file>

<file path=xl/sharedStrings.xml><?xml version="1.0" encoding="utf-8"?>
<sst xmlns="http://schemas.openxmlformats.org/spreadsheetml/2006/main" count="5342" uniqueCount="2023">
  <si>
    <t>瓏昇廠房新建工程｜三家報價比較</t>
  </si>
  <si>
    <t>比較基準：使用者提供三份PDF。新臺幣元；未經同版圖說、範圍與規格校準。</t>
  </si>
  <si>
    <t>比較指標</t>
  </si>
  <si>
    <t>大展營造</t>
  </si>
  <si>
    <t>立東營造</t>
  </si>
  <si>
    <t>基益營造</t>
  </si>
  <si>
    <t>判讀</t>
  </si>
  <si>
    <t>原報價總額</t>
  </si>
  <si>
    <t>各家原含稅總價，範圍不同，不是同範圍決標排名</t>
  </si>
  <si>
    <t>稅前合計</t>
  </si>
  <si>
    <t>基益空污費另列於稅後；大展稅前由總額扣原稅捐</t>
  </si>
  <si>
    <t>原營業稅</t>
  </si>
  <si>
    <t>原單列示稅額</t>
  </si>
  <si>
    <t>空污費</t>
  </si>
  <si>
    <t>未列價／業主負擔不可視為已含</t>
  </si>
  <si>
    <t>比立東總價差額</t>
  </si>
  <si>
    <t>正數高於立東；負數低於立東</t>
  </si>
  <si>
    <t>比立東總價差率</t>
  </si>
  <si>
    <t>差额÷立東原報價總額</t>
  </si>
  <si>
    <t>報價日期</t>
  </si>
  <si>
    <t>2026-09-30</t>
  </si>
  <si>
    <t>2026-10-01</t>
  </si>
  <si>
    <t>2026-04-01</t>
  </si>
  <si>
    <t>立東依檔名；基益較其他兩家早約半年</t>
  </si>
  <si>
    <t>電梯設備</t>
  </si>
  <si>
    <t>未含</t>
  </si>
  <si>
    <t>含客梯及貨梯</t>
  </si>
  <si>
    <t>大展須另補價，不能直接以較低總價決標</t>
  </si>
  <si>
    <t>原PDF頁數</t>
  </si>
  <si>
    <t>大展頁首標示共41頁，但提供檔案20頁</t>
  </si>
  <si>
    <t>未含項目含稅補價</t>
  </si>
  <si>
    <t>黃色欄可輸入已確認的補價；未填前不計調整後總額</t>
  </si>
  <si>
    <t>補價後試算總額</t>
  </si>
  <si>
    <t>僅補入自行填寫金額；仍不代表所有規格和數量一致</t>
  </si>
  <si>
    <t>主要判讀</t>
  </si>
  <si>
    <t>基益高價先查數量</t>
  </si>
  <si>
    <t>鋼筋983噸；大展348.11噸；立東297.83噸。優先確認圖說及計量範圍。</t>
  </si>
  <si>
    <t>立東與大展價差較小</t>
  </si>
  <si>
    <t>但立東含電梯、大展不含；屋頂防水、EPOXY、玻璃及門窗規格不同。</t>
  </si>
  <si>
    <t>乘算疑義</t>
  </si>
  <si>
    <t>基益兩筆防水複價比顯示乘算少134,450元；立東部分明細有小額精度差。</t>
  </si>
  <si>
    <t>廠商</t>
  </si>
  <si>
    <t>完整查閱</t>
  </si>
  <si>
    <t>分類比較涵蓋全部明細與費用；重點單價對照30項，未強行配對其餘不同工項。</t>
  </si>
  <si>
    <t>工程與費用分類比較（新臺幣元）</t>
  </si>
  <si>
    <t>以工程功能粗分類，保留全部金額；同分類不代表同範圍、同規格。空白／未單列不視為零元。</t>
  </si>
  <si>
    <t>統一比較分類</t>
  </si>
  <si>
    <t>立東減大展</t>
  </si>
  <si>
    <t>基益減立東</t>
  </si>
  <si>
    <t>比較限制</t>
  </si>
  <si>
    <t>假設工程</t>
  </si>
  <si>
    <t>費用歸類差異仍存在</t>
  </si>
  <si>
    <t>土方及結構工程</t>
  </si>
  <si>
    <t>大展土方＋結構；另兩家結構已含土方</t>
  </si>
  <si>
    <t>鋼構工程</t>
  </si>
  <si>
    <t>鋼材牌號、板厚及加工範圍不同</t>
  </si>
  <si>
    <t>內外裝修及防水</t>
  </si>
  <si>
    <t>大展內外裝修；立東泥作；基益泥作＋外裝</t>
  </si>
  <si>
    <t>門窗工程</t>
  </si>
  <si>
    <t>玻璃、填縫与五金內含方式不同</t>
  </si>
  <si>
    <t>設備、雜項及室外</t>
  </si>
  <si>
    <t>設備、雜項、公共設施、景觀；大展不含電梯</t>
  </si>
  <si>
    <t>運什、安衛及保險</t>
  </si>
  <si>
    <t>部分工地費用在假設工程或明細中，不能僅依費率比較</t>
  </si>
  <si>
    <t>管理及利潤</t>
  </si>
  <si>
    <t>各家費用基礎與利潤內含方式不同</t>
  </si>
  <si>
    <t>營業稅</t>
  </si>
  <si>
    <t>依原報價稅額</t>
  </si>
  <si>
    <t>僅基益有列價；其他為業主負擔</t>
  </si>
  <si>
    <t>逐筆明細與費用總和</t>
  </si>
  <si>
    <t>逐筆加總減原總額</t>
  </si>
  <si>
    <t>重點項目單價、數量與原複價</t>
  </si>
  <si>
    <t>僅為相近工項對照，均須核規格；合併工項單價用數量加權。單價高低差率＝最高／最低－1，不代表可節省金額。</t>
  </si>
  <si>
    <t>對照項目</t>
  </si>
  <si>
    <t>單位</t>
  </si>
  <si>
    <t>大展數量</t>
  </si>
  <si>
    <t>大展單價</t>
  </si>
  <si>
    <t>大展原複價</t>
  </si>
  <si>
    <t>立東數量</t>
  </si>
  <si>
    <t>立東單價</t>
  </si>
  <si>
    <t>立東原複價</t>
  </si>
  <si>
    <t>基益數量</t>
  </si>
  <si>
    <t>基益單價</t>
  </si>
  <si>
    <t>基益原複價</t>
  </si>
  <si>
    <t>單價高低差率</t>
  </si>
  <si>
    <t>來源明細ID</t>
  </si>
  <si>
    <t>土方開挖</t>
  </si>
  <si>
    <t>M3</t>
  </si>
  <si>
    <t>深度、餘土及運棄範圍不同，需同版數量</t>
  </si>
  <si>
    <t>dazhan-009、lidong-020、jiyi-023</t>
  </si>
  <si>
    <t>回填土方</t>
  </si>
  <si>
    <t>大展暫置基地內；另兩家夯實範圍需確認</t>
  </si>
  <si>
    <t>dazhan-010、lidong-021、jiyi-025</t>
  </si>
  <si>
    <t>2000PSI混凝土</t>
  </si>
  <si>
    <t>強度相近；品牌、配比及泵送條件待統一</t>
  </si>
  <si>
    <t>dazhan-039、lidong-026、jiyi-024</t>
  </si>
  <si>
    <t>4000PSI混凝土</t>
  </si>
  <si>
    <t>強度相近；立東原複價有10元乘算差</t>
  </si>
  <si>
    <t>dazhan-040、lidong-027、jiyi-030</t>
  </si>
  <si>
    <t>SD280鋼筋</t>
  </si>
  <si>
    <t>噸</t>
  </si>
  <si>
    <t>鋼筋號數範圍不一致；僅作數量與單價線索</t>
  </si>
  <si>
    <t>dazhan-036、lidong-024、jiyi-028</t>
  </si>
  <si>
    <t>SD420鋼筋</t>
  </si>
  <si>
    <t>大展#4以上；基益#6–#11，號數範圍不一致</t>
  </si>
  <si>
    <t>dazhan-037、lidong-025、jiyi-029</t>
  </si>
  <si>
    <t>普通／系統模板</t>
  </si>
  <si>
    <t>M2</t>
  </si>
  <si>
    <t>基益為兩種模板加權單價；面積與模板型式不同</t>
  </si>
  <si>
    <t>dazhan-042、lidong-023、jiyi-026、jiyi-027</t>
  </si>
  <si>
    <t>EPOXY地坪</t>
  </si>
  <si>
    <t>大展3mm、立東5mm且含粉光；基益厚度未列</t>
  </si>
  <si>
    <t>dazhan-070、lidong-070、jiyi-073</t>
  </si>
  <si>
    <t>明架礦纖天花</t>
  </si>
  <si>
    <t>60×60；品牌、骨架及收邊待統一</t>
  </si>
  <si>
    <t>dazhan-086、lidong-080、jiyi-089</t>
  </si>
  <si>
    <t>暗架矽酸鈣天花</t>
  </si>
  <si>
    <t>油漆、板厚與收邊內容不同</t>
  </si>
  <si>
    <t>dazhan-087、lidong-081、jiyi-090</t>
  </si>
  <si>
    <t>一般輕隔間</t>
  </si>
  <si>
    <t>大展一般型；立東不含岩棉；基益10cm牆厚</t>
  </si>
  <si>
    <t>dazhan-061、lidong-082、jiyi-083</t>
  </si>
  <si>
    <t>RC內牆粉光油漆</t>
  </si>
  <si>
    <t>施作面積、塗料與分項範圍不同</t>
  </si>
  <si>
    <t>dazhan-081、lidong-083、jiyi-085</t>
  </si>
  <si>
    <t>輕隔間批土油漆</t>
  </si>
  <si>
    <t>品牌與塗裝道數待核對</t>
  </si>
  <si>
    <t>dazhan-082、lidong-084、jiyi-084</t>
  </si>
  <si>
    <t>外牆二丁掛磚</t>
  </si>
  <si>
    <t>磚款、基層及計量面積不同</t>
  </si>
  <si>
    <t>dazhan-100、lidong-089、jiyi-092</t>
  </si>
  <si>
    <t>外牆金屬包板</t>
  </si>
  <si>
    <t>大展2.5t鋁板含骨架；另兩家厚度待確認</t>
  </si>
  <si>
    <t>dazhan-109、lidong-090、jiyi-093</t>
  </si>
  <si>
    <t>仿清水模塗料</t>
  </si>
  <si>
    <t>大展鈴鹿；立東國產；基益品牌未列</t>
  </si>
  <si>
    <t>dazhan-102、lidong-094、jiyi-096</t>
  </si>
  <si>
    <t>淺色外牆塗料</t>
  </si>
  <si>
    <t>品牌與工法不同</t>
  </si>
  <si>
    <t>dazhan-103、lidong-092、jiyi-097</t>
  </si>
  <si>
    <t>屋頂平台防水</t>
  </si>
  <si>
    <t>聚脲／彈泥／未詳工法，不宜作同規格排名</t>
  </si>
  <si>
    <t>dazhan-095、lidong-064、jiyi-066</t>
  </si>
  <si>
    <t>客用無障礙電梯</t>
  </si>
  <si>
    <t>部</t>
  </si>
  <si>
    <t>大展不含；立東立穩/國峰，基益小金井</t>
  </si>
  <si>
    <t>lidong-148、jiyi-158</t>
  </si>
  <si>
    <t>貨物電梯</t>
  </si>
  <si>
    <t>載重、停靠層、速度及品牌需統一</t>
  </si>
  <si>
    <t>lidong-149、jiyi-159</t>
  </si>
  <si>
    <t>污水處理設施</t>
  </si>
  <si>
    <t>座</t>
  </si>
  <si>
    <t>10人份；槽體保護與承裝範圍不同</t>
  </si>
  <si>
    <t>dazhan-209、lidong-177、jiyi-160</t>
  </si>
  <si>
    <t>廁所隔間含門</t>
  </si>
  <si>
    <t>大展ABS H210；立東PVC H240；基益材質待確認</t>
  </si>
  <si>
    <t>dazhan-197、lidong-153、jiyi-162</t>
  </si>
  <si>
    <t>小便斗隔屏</t>
  </si>
  <si>
    <t>片／組</t>
  </si>
  <si>
    <t>尺寸及材質不同，單位片/組需確認</t>
  </si>
  <si>
    <t>dazhan-198、lidong-154、jiyi-163</t>
  </si>
  <si>
    <t>樓梯扶手</t>
  </si>
  <si>
    <t>M</t>
  </si>
  <si>
    <t>大展實木、立東櫸木；基益立柱及扶壁式</t>
  </si>
  <si>
    <t>dazhan-189、lidong-170、jiyi-170、jiyi-171</t>
  </si>
  <si>
    <t>SD1快速捲門</t>
  </si>
  <si>
    <t>樘</t>
  </si>
  <si>
    <t>尺寸近似，但材質、馬達及封板範圍待確認</t>
  </si>
  <si>
    <t>dazhan-151、lidong-125、jiyi-123</t>
  </si>
  <si>
    <t>SD2快速捲門</t>
  </si>
  <si>
    <t>dazhan-152、lidong-126、jiyi-124</t>
  </si>
  <si>
    <t>SFD2防火捲門</t>
  </si>
  <si>
    <t>450×380；60A標示，相關控制及查驗待確認</t>
  </si>
  <si>
    <t>dazhan-154、lidong-128、jiyi-126</t>
  </si>
  <si>
    <t>D1廁所門</t>
  </si>
  <si>
    <t>大展ABS；立東與基益SMC，材質不同</t>
  </si>
  <si>
    <t>dazhan-121、lidong-103、jiyi-102</t>
  </si>
  <si>
    <t>D3a防火門</t>
  </si>
  <si>
    <t>大展60A；另兩家60B＋遮煙，規格不同</t>
  </si>
  <si>
    <t>dazhan-124、lidong-106、jiyi-105</t>
  </si>
  <si>
    <t>W1鋁窗</t>
  </si>
  <si>
    <t>大展、基益玻璃另計，立東備註含玻璃，不能直比總成</t>
  </si>
  <si>
    <t>dazhan-157、lidong-131、jiyi-128</t>
  </si>
  <si>
    <t>相對立東的價差拆解</t>
  </si>
  <si>
    <t>數量效果＝(比較家數量－立東數量)×立東單價；單價效果＝比較家數量×單價差。含規格差異，並非純議價空間。</t>
  </si>
  <si>
    <t>項目</t>
  </si>
  <si>
    <t>比較廠商</t>
  </si>
  <si>
    <t>複價差額</t>
  </si>
  <si>
    <t>數量效果</t>
  </si>
  <si>
    <t>單價效果</t>
  </si>
  <si>
    <t>乘算／精度差</t>
  </si>
  <si>
    <t>拆解核對</t>
  </si>
  <si>
    <t>範圍、品牌與報價條件</t>
  </si>
  <si>
    <t>比較主題</t>
  </si>
  <si>
    <t>應確認事項</t>
  </si>
  <si>
    <t>PDF依據</t>
  </si>
  <si>
    <t>不含，業主自理；施工時需無償借用</t>
  </si>
  <si>
    <t>客梯1,243,800＋貨梯2,448,900；立穩、國峰或同等</t>
  </si>
  <si>
    <t>客梯938,000＋貨梯2,580,000；小金井</t>
  </si>
  <si>
    <t>大展須另補；另兩家停靠、載重及規格仍需統一</t>
  </si>
  <si>
    <t>大展p1；立東p7；基益p7</t>
  </si>
  <si>
    <t>機電／衛浴／安全設備</t>
  </si>
  <si>
    <t>明列不含設備及承裝</t>
  </si>
  <si>
    <t>機電業主自行發包</t>
  </si>
  <si>
    <t>本份未列獨立機電工程，是否另包待確認</t>
  </si>
  <si>
    <t>三家總額均不能當作完整建廠預算</t>
  </si>
  <si>
    <t>大展p1；立東p1；基益p1及全表</t>
  </si>
  <si>
    <t>不含，業主自理</t>
  </si>
  <si>
    <t>業主支付環保署，無金額</t>
  </si>
  <si>
    <t>總表另列65,000，列於營業稅之後</t>
  </si>
  <si>
    <t>含價範圍不同；不替未列金額估零</t>
  </si>
  <si>
    <t>三家p1</t>
  </si>
  <si>
    <t>臨時水電</t>
  </si>
  <si>
    <t>首頁不含申請外管線路費，但A003列717,000、A004列360,000</t>
  </si>
  <si>
    <t>首頁不含臨時水電；明細列102,000使用費，代辦供應設備甲方提供</t>
  </si>
  <si>
    <t>申請配管拉線註威向水電；使用費業主自理</t>
  </si>
  <si>
    <t>大展、立東條款與明細範圍需書面釐清</t>
  </si>
  <si>
    <t>大展p1、p4；立東p1、p2；基益p2</t>
  </si>
  <si>
    <t>外水／外電／外瓦斯／外審</t>
  </si>
  <si>
    <t>臨時水電外管費明列不含，其餘未明</t>
  </si>
  <si>
    <t>全部明列不含</t>
  </si>
  <si>
    <t>未明列</t>
  </si>
  <si>
    <t>要求各家列清規費與接管分界</t>
  </si>
  <si>
    <t>大展p1；立東p1；基益全表</t>
  </si>
  <si>
    <t>混凝土品牌</t>
  </si>
  <si>
    <t>2000PSI台鋼；4000PSI亞泥</t>
  </si>
  <si>
    <t>亞東、巨力等同等品牌</t>
  </si>
  <si>
    <t>未列品牌</t>
  </si>
  <si>
    <t>相同強度仍需確認配比、泵送及查驗要求</t>
  </si>
  <si>
    <t>大展p7；立東p1–3；基益p2</t>
  </si>
  <si>
    <t>鋼材與樓承板</t>
  </si>
  <si>
    <t>SN490B；主體DECK 1.2mm</t>
  </si>
  <si>
    <t>SN490YB／SN400B；Z275 DECK 1.5mm</t>
  </si>
  <si>
    <t>SN490YB；1.5與1.2mm並列，含鋅量120g</t>
  </si>
  <si>
    <t>材級、板厚、鍍鋅量不同，不能只比每公斤或每坪單價</t>
  </si>
  <si>
    <t>大展p6；立東p3–4；基益p3</t>
  </si>
  <si>
    <t>鋁門窗與玻璃</t>
  </si>
  <si>
    <t>信元；多數5灰＋5清雙強膠合，玻璃另列</t>
  </si>
  <si>
    <t>大同、力霸等同等；多數5清＋5灰強化，部分含隱藏紗窗與三點連動</t>
  </si>
  <si>
    <t>國田；8mm強化玻璃另列</t>
  </si>
  <si>
    <t>合併玻璃、五金、紗窗、填縫後再比價；不同門型不可直接比</t>
  </si>
  <si>
    <t>大展p2、p13–17；立東p1、p6–7；基益p6–7</t>
  </si>
  <si>
    <t>輕隔間</t>
  </si>
  <si>
    <t>國浦；防火與管道間含岩棉，另有一般隔間</t>
  </si>
  <si>
    <t>9mm矽酸鈣板；不含岩棉</t>
  </si>
  <si>
    <t>T=10CM；未列品牌或岩棉</t>
  </si>
  <si>
    <t>分清總牆厚、板厚、骨架、岩棉與防火時效</t>
  </si>
  <si>
    <t>大展p8；立東p1、p5；基益p4</t>
  </si>
  <si>
    <t>慶泰3mm流展平塗，整體粉光另列E001</t>
  </si>
  <si>
    <t>5mm EPOXY，含地坪整體粉光</t>
  </si>
  <si>
    <t>未列厚度，地坪EPOXY</t>
  </si>
  <si>
    <t>厚度及粉光範圍不同；大展710與立東1,240不可直接判定價差效益</t>
  </si>
  <si>
    <t>大展p8；立東p4；基益p4</t>
  </si>
  <si>
    <t>屋頂防水</t>
  </si>
  <si>
    <t>3mm聚脲1,800元/M2</t>
  </si>
  <si>
    <t>彈泥五道、全面貼纖維網880元/M2</t>
  </si>
  <si>
    <t>750元/M2，工法未詳列</t>
  </si>
  <si>
    <t>工法不同；統一保固、試水、收頭與施工範圍</t>
  </si>
  <si>
    <t>大展p3、p10；立東p4；基益p4</t>
  </si>
  <si>
    <t>磁磚與油漆</t>
  </si>
  <si>
    <t>白馬各指定系列或同級；虹牌；鈴鹿外牆塗料</t>
  </si>
  <si>
    <t>磁磚國產，列每片材料價；虹牌、青葉等同等；外牆塗料國產</t>
  </si>
  <si>
    <t>多數未列品牌</t>
  </si>
  <si>
    <t>以樣品、型號、尺寸與材料預算確認，不以品牌文字自行評分</t>
  </si>
  <si>
    <t>大展p8–12；立東p1、p4–5；基益p4–5</t>
  </si>
  <si>
    <t>戶外地坪與景觀</t>
  </si>
  <si>
    <t>戶外RC地坪整體粉光／刷毛，不含裝修材；使照綠化</t>
  </si>
  <si>
    <t>草地、植草磚與樹木註請照用</t>
  </si>
  <si>
    <t>另含戶外845M2瀝青1,690,000</t>
  </si>
  <si>
    <t>三家室外完成面不同，須先統一交付範圍</t>
  </si>
  <si>
    <t>大展p1、p19；立東p8–9；基益p8</t>
  </si>
  <si>
    <t>公司LOGO</t>
  </si>
  <si>
    <t>未見獨立LOGO計價</t>
  </si>
  <si>
    <t>暫不估價，無詳圖</t>
  </si>
  <si>
    <t>外牆LOGO200,000＋LOGO矮牆250,000</t>
  </si>
  <si>
    <t>未列不代表已含；需補圖確認</t>
  </si>
  <si>
    <t>大展全表；立東p8；基益p5、p8</t>
  </si>
  <si>
    <t>機台獨立基礎</t>
  </si>
  <si>
    <t>未見相同項目獨立列價</t>
  </si>
  <si>
    <t>13座，1,885,000</t>
  </si>
  <si>
    <t>確認圖說是否同版本，避免直接當成單價差</t>
  </si>
  <si>
    <t>大展p7；立東p2–3；基益p3</t>
  </si>
  <si>
    <t>土方追加條件</t>
  </si>
  <si>
    <t>鑽探與現地土質／地下水不符可追加</t>
  </si>
  <si>
    <t>未見相同條款</t>
  </si>
  <si>
    <t>釐清棄土證明、地下水、廢棄物與實作實算範圍</t>
  </si>
  <si>
    <t>大展p1–2</t>
  </si>
  <si>
    <t>報價有效期與工期</t>
  </si>
  <si>
    <t>7天；週日不施工；週六受限可另計工期管理費</t>
  </si>
  <si>
    <t>14天；逾期按大宗物料時價重報</t>
  </si>
  <si>
    <t>未列有效期</t>
  </si>
  <si>
    <t>三份均未提供可完整比较的總工期、付款、履約保證及完整保固條款</t>
  </si>
  <si>
    <t>大展p1–2；立東p1；基益全表</t>
  </si>
  <si>
    <t>版本與承攬主體</t>
  </si>
  <si>
    <t>PDF20頁，頁首標示共41頁</t>
  </si>
  <si>
    <t>使用者檔名立東；抬頭立東建設／營寶營造</t>
  </si>
  <si>
    <t>日期2026/4/1，較其他報價早約半年</t>
  </si>
  <si>
    <t>取得同版圖說、完整附件、法人抬頭後再決標</t>
  </si>
  <si>
    <t>三家首頁及文件頁數</t>
  </si>
  <si>
    <t>議價與核對清單</t>
  </si>
  <si>
    <t>事項</t>
  </si>
  <si>
    <t>優先程度</t>
  </si>
  <si>
    <t>具體確認內容</t>
  </si>
  <si>
    <t>回覆／處理紀錄</t>
  </si>
  <si>
    <t>三家</t>
  </si>
  <si>
    <t>同版圖說與範圍</t>
  </si>
  <si>
    <t>高</t>
  </si>
  <si>
    <t>先取得相同建築、結構、門窗及機台基礎圖版本，再請三家重估同一工程數量。</t>
  </si>
  <si>
    <t>三家全表</t>
  </si>
  <si>
    <t>電梯未含</t>
  </si>
  <si>
    <t>補客梯、貨梯與周邊防火設備承裝報價，才有同範圍比較基礎。</t>
  </si>
  <si>
    <t>p1</t>
  </si>
  <si>
    <t>文件頁數</t>
  </si>
  <si>
    <t>中</t>
  </si>
  <si>
    <t>提供PDF20頁，頁首印共41頁，請確認是否尚有附件。</t>
  </si>
  <si>
    <t>p1–20</t>
  </si>
  <si>
    <t>法人抬頭</t>
  </si>
  <si>
    <t>確認實際簽約、開票與施工承攬主體；PDF抬頭與檔名不完全相同。</t>
  </si>
  <si>
    <t>舊版與大量差異</t>
  </si>
  <si>
    <t>2026/4/1版本；鋼筋共983噸，另兩家約348.11／297.83噸，需先核圖量。</t>
  </si>
  <si>
    <t>p2；大展p7；立東p2</t>
  </si>
  <si>
    <t>大展營造／立東營造</t>
  </si>
  <si>
    <t>臨時水電條款</t>
  </si>
  <si>
    <t>總備註不含臨時水電或申請外管費，但明細有價；請書面界定。</t>
  </si>
  <si>
    <t>大展p1、4；立東p1、2</t>
  </si>
  <si>
    <t>防水乘算差異</t>
  </si>
  <si>
    <t>窗框1,348×300=404,400，原337,000；接縫1,341×300=402,300，原335,250。合計差134,450元，原值保留。</t>
  </si>
  <si>
    <t>p4</t>
  </si>
  <si>
    <t>分項加總差異</t>
  </si>
  <si>
    <t>低</t>
  </si>
  <si>
    <t>部分小計與四捨五入明細差1至2元；總表仍依原總價，詳核對表。</t>
  </si>
  <si>
    <t>p1、p2–8</t>
  </si>
  <si>
    <t>複價乘算微差</t>
  </si>
  <si>
    <t>部分複價與顯示數量×單價相差1至10元，可能來自隱藏精度，應請廠商說明。</t>
  </si>
  <si>
    <t>p2–5</t>
  </si>
  <si>
    <t>未列合約條件</t>
  </si>
  <si>
    <t>確認總工期、付款里程碑、保留款、保固、履約保證、變更計價及物價調整。</t>
  </si>
  <si>
    <t>文件未完整列示</t>
  </si>
  <si>
    <t>報價明細（新臺幣元）</t>
  </si>
  <si>
    <t>藍字為原報價數值；空白金額代表未列價。乘算僅供核對，不取代原複價。</t>
  </si>
  <si>
    <t>資料ID</t>
  </si>
  <si>
    <t>原分類</t>
  </si>
  <si>
    <t>子分類</t>
  </si>
  <si>
    <t>原項次</t>
  </si>
  <si>
    <t>工程項目／規格</t>
  </si>
  <si>
    <t>數量</t>
  </si>
  <si>
    <t>原單價</t>
  </si>
  <si>
    <t>原複價</t>
  </si>
  <si>
    <t>數量×單價</t>
  </si>
  <si>
    <t>原複價減乘算</t>
  </si>
  <si>
    <t>品牌／原備註</t>
  </si>
  <si>
    <t>PDF頁</t>
  </si>
  <si>
    <t>性質</t>
  </si>
  <si>
    <t>核對說明</t>
  </si>
  <si>
    <t>dazhan-001</t>
  </si>
  <si>
    <t>A001</t>
  </si>
  <si>
    <t>工務所設備（組合屋）/臨時衛 生設備</t>
  </si>
  <si>
    <t>式</t>
  </si>
  <si>
    <t>工程明細</t>
  </si>
  <si>
    <t>dazhan-002</t>
  </si>
  <si>
    <t>A002</t>
  </si>
  <si>
    <t>甲種安全圍籬工程/含工程告 示牌</t>
  </si>
  <si>
    <t>dazhan-003</t>
  </si>
  <si>
    <t>A003</t>
  </si>
  <si>
    <t>外管臨時水電申請及設備/施 工中水電使用費</t>
  </si>
  <si>
    <t>dazhan-004</t>
  </si>
  <si>
    <t>A004</t>
  </si>
  <si>
    <t>施工臨時水電設備建置費</t>
  </si>
  <si>
    <t>dazhan-005</t>
  </si>
  <si>
    <t>A005</t>
  </si>
  <si>
    <t>營建混合廢棄物證明及處理 費</t>
  </si>
  <si>
    <t>dazhan-006</t>
  </si>
  <si>
    <t>A006</t>
  </si>
  <si>
    <t>公共排水溝及道路修復工程</t>
  </si>
  <si>
    <t>dazhan-007</t>
  </si>
  <si>
    <t>A007</t>
  </si>
  <si>
    <t>工地保全費用/設備保全</t>
  </si>
  <si>
    <t>dazhan-008</t>
  </si>
  <si>
    <t>土方工程</t>
  </si>
  <si>
    <t>B001</t>
  </si>
  <si>
    <t>現有圍籬、成功二路120巷入 口處鐵皮屋拆除運棄及整地 工程</t>
  </si>
  <si>
    <t>dazhan-009</t>
  </si>
  <si>
    <t>B002</t>
  </si>
  <si>
    <t>實方</t>
  </si>
  <si>
    <t>dazhan-010</t>
  </si>
  <si>
    <t>B003</t>
  </si>
  <si>
    <t>實方/暫置基地內</t>
  </si>
  <si>
    <t>dazhan-011</t>
  </si>
  <si>
    <t>B004</t>
  </si>
  <si>
    <t>污水處理區土方開挖及回填 工程（二處）</t>
  </si>
  <si>
    <t>dazhan-012</t>
  </si>
  <si>
    <t>C001</t>
  </si>
  <si>
    <t>SN490B鋼構材料 H型鋼</t>
  </si>
  <si>
    <t>dazhan-013</t>
  </si>
  <si>
    <t>C002</t>
  </si>
  <si>
    <t>SN490B鋼鈑材料</t>
  </si>
  <si>
    <t>dazhan-014</t>
  </si>
  <si>
    <t>C003</t>
  </si>
  <si>
    <t>廠內加工焊接（含柱封板）</t>
  </si>
  <si>
    <t>dazhan-015</t>
  </si>
  <si>
    <t>C004</t>
  </si>
  <si>
    <t>鋼構噴砂+1道磷酸鋅底漆</t>
  </si>
  <si>
    <t>dazhan-016</t>
  </si>
  <si>
    <t>C005</t>
  </si>
  <si>
    <t>鋼構運輸</t>
  </si>
  <si>
    <t>dazhan-017</t>
  </si>
  <si>
    <t>C006</t>
  </si>
  <si>
    <t>鋼構加工損耗品/五金焊材</t>
  </si>
  <si>
    <t>dazhan-018</t>
  </si>
  <si>
    <t>C007</t>
  </si>
  <si>
    <t>鋼構組立吊裝</t>
  </si>
  <si>
    <t>dazhan-019</t>
  </si>
  <si>
    <t>C008</t>
  </si>
  <si>
    <t>高拉力螺栓</t>
  </si>
  <si>
    <t>KG</t>
  </si>
  <si>
    <t>dazhan-020</t>
  </si>
  <si>
    <t>C009</t>
  </si>
  <si>
    <t>鋼承版（3W DECK T=1.2mm）</t>
  </si>
  <si>
    <t>dazhan-021</t>
  </si>
  <si>
    <t>C010</t>
  </si>
  <si>
    <t>DECK剪力釘（φ19*76L）</t>
  </si>
  <si>
    <t>支</t>
  </si>
  <si>
    <t>dazhan-022</t>
  </si>
  <si>
    <t>C011</t>
  </si>
  <si>
    <t>與RC牆接合剪力釘</t>
  </si>
  <si>
    <t>dazhan-023</t>
  </si>
  <si>
    <t>C012</t>
  </si>
  <si>
    <t>甲梯/鋼梯（H10.7m）/1F~3F</t>
  </si>
  <si>
    <t>dazhan-024</t>
  </si>
  <si>
    <t>C013</t>
  </si>
  <si>
    <t>乙梯/鋼梯（H15.2m）/IF~RF</t>
  </si>
  <si>
    <t>dazhan-025</t>
  </si>
  <si>
    <t>C014</t>
  </si>
  <si>
    <t>M22基礎螺栓預埋</t>
  </si>
  <si>
    <t>組</t>
  </si>
  <si>
    <t>dazhan-026</t>
  </si>
  <si>
    <t>C015</t>
  </si>
  <si>
    <t>鋼構無收縮水泥灌注</t>
  </si>
  <si>
    <t>處</t>
  </si>
  <si>
    <t>dazhan-027</t>
  </si>
  <si>
    <t>C016</t>
  </si>
  <si>
    <t>二工鋼構工程</t>
  </si>
  <si>
    <t>（含廠製.噴砂油 漆.運輸.安裝）</t>
  </si>
  <si>
    <t>dazhan-028</t>
  </si>
  <si>
    <t>C017</t>
  </si>
  <si>
    <t>二工鋼承版（3W T=1.2mm）</t>
  </si>
  <si>
    <t>dazhan-029</t>
  </si>
  <si>
    <t>C018</t>
  </si>
  <si>
    <t>鋼構檢驗</t>
  </si>
  <si>
    <t>dazhan-030</t>
  </si>
  <si>
    <t>C019</t>
  </si>
  <si>
    <t>鋼構施工圖繪製及安全措施</t>
  </si>
  <si>
    <t>dazhan-031</t>
  </si>
  <si>
    <t>C021</t>
  </si>
  <si>
    <t>鋼樑鋼筋焊植工程</t>
  </si>
  <si>
    <t>dazhan-032</t>
  </si>
  <si>
    <t>C022</t>
  </si>
  <si>
    <t>鋼柱.鋼樑噴塗防火漆1小時</t>
  </si>
  <si>
    <t>（FM-906）+面漆 （1030FM</t>
  </si>
  <si>
    <t>dazhan-033</t>
  </si>
  <si>
    <t>C023</t>
  </si>
  <si>
    <t>甲梯/噴塗及手工刷塗面漆</t>
  </si>
  <si>
    <t>dazhan-034</t>
  </si>
  <si>
    <t>C024</t>
  </si>
  <si>
    <t>乙梯/噴塗及手工刷塗面漆</t>
  </si>
  <si>
    <t>dazhan-035</t>
  </si>
  <si>
    <t>C025</t>
  </si>
  <si>
    <t>剪刀式高空作業車</t>
  </si>
  <si>
    <t>4台</t>
  </si>
  <si>
    <t>dazhan-036</t>
  </si>
  <si>
    <t>結構工程</t>
  </si>
  <si>
    <t>D001</t>
  </si>
  <si>
    <t>鋼筋加工及組立SD280 #3</t>
  </si>
  <si>
    <t>T</t>
  </si>
  <si>
    <t>非水淬</t>
  </si>
  <si>
    <t>dazhan-037</t>
  </si>
  <si>
    <t>D002</t>
  </si>
  <si>
    <t>鋼筋加工及組立 SD420W/#4（含）以上</t>
  </si>
  <si>
    <t>dazhan-038</t>
  </si>
  <si>
    <t>D003</t>
  </si>
  <si>
    <t>鋼梯點焊鋼絲網舖設工程</t>
  </si>
  <si>
    <t>dazhan-039</t>
  </si>
  <si>
    <t>D004</t>
  </si>
  <si>
    <t>預拌混凝土及澆置 2000PSI</t>
  </si>
  <si>
    <t>台鋼</t>
  </si>
  <si>
    <t>dazhan-040</t>
  </si>
  <si>
    <t>D005</t>
  </si>
  <si>
    <t>預拌混凝土及澆置 4000PSI</t>
  </si>
  <si>
    <t>亞泥</t>
  </si>
  <si>
    <t>dazhan-041</t>
  </si>
  <si>
    <t>D007</t>
  </si>
  <si>
    <t>模板工程放樣</t>
  </si>
  <si>
    <t>坪</t>
  </si>
  <si>
    <t>dazhan-042</t>
  </si>
  <si>
    <t>D008</t>
  </si>
  <si>
    <t>普通模板含組立</t>
  </si>
  <si>
    <t>dazhan-043</t>
  </si>
  <si>
    <t>D009</t>
  </si>
  <si>
    <t>鋼管鷹架（CNS4750）/含內外 交叉拉桿</t>
  </si>
  <si>
    <t>dazhan-044</t>
  </si>
  <si>
    <t>D010</t>
  </si>
  <si>
    <t>安全母索及低拉桿</t>
  </si>
  <si>
    <t>dazhan-045</t>
  </si>
  <si>
    <t>D011</t>
  </si>
  <si>
    <t>防塵網（格層網18針）</t>
  </si>
  <si>
    <t>dazhan-046</t>
  </si>
  <si>
    <t>D012</t>
  </si>
  <si>
    <t>安全防墜網</t>
  </si>
  <si>
    <t>dazhan-047</t>
  </si>
  <si>
    <t>D013</t>
  </si>
  <si>
    <t>三角架</t>
  </si>
  <si>
    <t>dazhan-048</t>
  </si>
  <si>
    <t>D014</t>
  </si>
  <si>
    <t>安全夾板</t>
  </si>
  <si>
    <t>dazhan-049</t>
  </si>
  <si>
    <t>D015</t>
  </si>
  <si>
    <t>延伸架</t>
  </si>
  <si>
    <t>dazhan-050</t>
  </si>
  <si>
    <t>D016</t>
  </si>
  <si>
    <t>壁拉桿</t>
  </si>
  <si>
    <t>dazhan-051</t>
  </si>
  <si>
    <t>D017</t>
  </si>
  <si>
    <t>外架鐵爬梯（CNS4750）</t>
  </si>
  <si>
    <t>dazhan-052</t>
  </si>
  <si>
    <t>D018</t>
  </si>
  <si>
    <t>裝修施工架</t>
  </si>
  <si>
    <t>dazhan-053</t>
  </si>
  <si>
    <t>D019</t>
  </si>
  <si>
    <t>裝修滿堂架</t>
  </si>
  <si>
    <t>dazhan-054</t>
  </si>
  <si>
    <t>D020</t>
  </si>
  <si>
    <t>活動施工架</t>
  </si>
  <si>
    <t>dazhan-055</t>
  </si>
  <si>
    <t>D021</t>
  </si>
  <si>
    <t>鋼筋補運費（不足基本噸數）/ 單次出車</t>
  </si>
  <si>
    <t>dazhan-056</t>
  </si>
  <si>
    <t>D022</t>
  </si>
  <si>
    <t>地坪舖PE防潮布</t>
  </si>
  <si>
    <t>dazhan-057</t>
  </si>
  <si>
    <t>內部裝修工程</t>
  </si>
  <si>
    <t>E001</t>
  </si>
  <si>
    <t>地坪整體粉光/各層RC澆置後</t>
  </si>
  <si>
    <t>dazhan-058</t>
  </si>
  <si>
    <t>E003</t>
  </si>
  <si>
    <t>管道間水泥纖維板隔間（雙面 /乾式）</t>
  </si>
  <si>
    <t>國浦/9mm+CH92+岩 棉+9mm水泥纖維板</t>
  </si>
  <si>
    <t>dazhan-059</t>
  </si>
  <si>
    <t>E004</t>
  </si>
  <si>
    <t>一小時防火時效矽酸鈣板隔 間（雙面/乾式）（60A）</t>
  </si>
  <si>
    <t>國浦/9mm+C100+岩 棉+9mm矽酸鈣板</t>
  </si>
  <si>
    <t>dazhan-060</t>
  </si>
  <si>
    <t>E005</t>
  </si>
  <si>
    <t>防火輕隔間上緣刻溝工程</t>
  </si>
  <si>
    <t>dazhan-061</t>
  </si>
  <si>
    <t>E006</t>
  </si>
  <si>
    <t>矽酸鈣板隔間（雙面/乾式）</t>
  </si>
  <si>
    <t>國浦 /9mm+C100+9mm矽 酸鈣板</t>
  </si>
  <si>
    <t>dazhan-062</t>
  </si>
  <si>
    <t>E007</t>
  </si>
  <si>
    <t>浴廁水泥纖維板隔間（雙面/ 乾式）</t>
  </si>
  <si>
    <t>國浦 /9mm+C100+9mm水 泥纖維板</t>
  </si>
  <si>
    <t>dazhan-063</t>
  </si>
  <si>
    <t>E008</t>
  </si>
  <si>
    <t>輕隔間工程未至頂處上方加 強骨架</t>
  </si>
  <si>
    <t>dazhan-064</t>
  </si>
  <si>
    <t>E009</t>
  </si>
  <si>
    <t>鋼柱包9mm矽酸鈣板隔間（單 面）/1F/H570cm</t>
  </si>
  <si>
    <t>dazhan-065</t>
  </si>
  <si>
    <t>E010</t>
  </si>
  <si>
    <t>鋼柱包9mm矽酸鈣板隔間（單 面）/2F/H500cm</t>
  </si>
  <si>
    <t>dazhan-066</t>
  </si>
  <si>
    <t>E011</t>
  </si>
  <si>
    <t>鋼柱包9mm矽酸鈣板隔間（單 面）/3F/H450cm</t>
  </si>
  <si>
    <t>dazhan-067</t>
  </si>
  <si>
    <t>E012</t>
  </si>
  <si>
    <t>鋼柱包9mm矽酸鈣板隔間（單 面）/RF/H300cm</t>
  </si>
  <si>
    <t>dazhan-068</t>
  </si>
  <si>
    <t>E013</t>
  </si>
  <si>
    <t>FO1-地坪軟底舖止滑石英磚 （30*30）/浴廁</t>
  </si>
  <si>
    <t>白馬/傳家系列或 同級品</t>
  </si>
  <si>
    <t>dazhan-069</t>
  </si>
  <si>
    <t>E014</t>
  </si>
  <si>
    <t>F02-地坪軟底舖石英磚 （30*30）/機房</t>
  </si>
  <si>
    <t>dazhan-070</t>
  </si>
  <si>
    <t>E016</t>
  </si>
  <si>
    <t>F03-地坪耐磨環氧樹脂EPOXY 地坪</t>
  </si>
  <si>
    <t>慶泰3MM流展平塗</t>
  </si>
  <si>
    <t>dazhan-071</t>
  </si>
  <si>
    <t>E017</t>
  </si>
  <si>
    <t>F04-樓梯地坪貼樓梯磚 （20*20）/含梯間</t>
  </si>
  <si>
    <t>白馬/崗玉系列或 同級品</t>
  </si>
  <si>
    <t>dazhan-072</t>
  </si>
  <si>
    <t>E018</t>
  </si>
  <si>
    <t>F04-樓梯地坪貼樓梯磚 （20*27）</t>
  </si>
  <si>
    <t>dazhan-073</t>
  </si>
  <si>
    <t>E019</t>
  </si>
  <si>
    <t>F05-地坪半濕式舖拋光石英 磚（60*60）</t>
  </si>
  <si>
    <t>白馬/雅緻系列或 同級品</t>
  </si>
  <si>
    <t>dazhan-074</t>
  </si>
  <si>
    <t>E020</t>
  </si>
  <si>
    <t>F06-地坪硬底舖拋光石英磚 （60*120）</t>
  </si>
  <si>
    <t>白馬/皇家之星系 列或同級品</t>
  </si>
  <si>
    <t>dazhan-075</t>
  </si>
  <si>
    <t>E021</t>
  </si>
  <si>
    <t>地坪矽利康收邊</t>
  </si>
  <si>
    <t>道康寧GM</t>
  </si>
  <si>
    <t>dazhan-076</t>
  </si>
  <si>
    <t>E022</t>
  </si>
  <si>
    <t>FO7-地坪軟底舖止滑石英磚 （30*30）/陽台</t>
  </si>
  <si>
    <t>dazhan-077</t>
  </si>
  <si>
    <t>E023</t>
  </si>
  <si>
    <t>F08-地坪硬底舖止滑石英磚 （30*60）/外廊</t>
  </si>
  <si>
    <t>白馬/箱根系列或 同級品</t>
  </si>
  <si>
    <t>dazhan-078</t>
  </si>
  <si>
    <t>E024</t>
  </si>
  <si>
    <t>F08-地坪抿石子（1.2分宜蘭 石）/外廊收邊.樓梯.無障礙 坡道</t>
  </si>
  <si>
    <t>dazhan-079</t>
  </si>
  <si>
    <t>E025</t>
  </si>
  <si>
    <t>F09-地坪硬底舖石英磚 （30*30）/ 屋頂平台</t>
  </si>
  <si>
    <t>dazhan-080</t>
  </si>
  <si>
    <t>E026</t>
  </si>
  <si>
    <t>F10-地坪半濕式舖拋光石英 磚（30*60）/1MF參觀平台</t>
  </si>
  <si>
    <t>dazhan-081</t>
  </si>
  <si>
    <t>E027</t>
  </si>
  <si>
    <t>W01-內牆1:3MT光刷水泥漆</t>
  </si>
  <si>
    <t>虹牌/白土*2+底漆 （410-1）+面漆 （450）*2道</t>
  </si>
  <si>
    <t>dazhan-082</t>
  </si>
  <si>
    <t>E028</t>
  </si>
  <si>
    <t>WO1-輕隔間牆面刷水泥漆</t>
  </si>
  <si>
    <t>dazhan-083</t>
  </si>
  <si>
    <t>E029</t>
  </si>
  <si>
    <t>WO2,W03-內牆打底貼石英磚 （30*30）/H270cm</t>
  </si>
  <si>
    <t>dazhan-084</t>
  </si>
  <si>
    <t>E030</t>
  </si>
  <si>
    <t>W02. W03-輕隔間貼石英磚 （30*30）/H270cm</t>
  </si>
  <si>
    <t>dazhan-085</t>
  </si>
  <si>
    <t>E032</t>
  </si>
  <si>
    <t>機房/內牆1:3MT光刷水泥漆</t>
  </si>
  <si>
    <t>dazhan-086</t>
  </si>
  <si>
    <t>E033</t>
  </si>
  <si>
    <t>平頂明架礦纖天花板（60*60）</t>
  </si>
  <si>
    <t>dazhan-087</t>
  </si>
  <si>
    <t>E034</t>
  </si>
  <si>
    <t>平頂暗架矽酸鈣板天花（平面 式）</t>
  </si>
  <si>
    <t>國浦6mm/虹牌/白 土*1+底漆（410- 1+467AD）+面漆 （450）*2道</t>
  </si>
  <si>
    <t>dazhan-088</t>
  </si>
  <si>
    <t>E035</t>
  </si>
  <si>
    <t>暗架平頂天花脫溝</t>
  </si>
  <si>
    <t>dazhan-089</t>
  </si>
  <si>
    <t>E036</t>
  </si>
  <si>
    <t>刀具室平頂暗架矽酸鈣板天 花-上下封板</t>
  </si>
  <si>
    <t>dazhan-090</t>
  </si>
  <si>
    <t>E037</t>
  </si>
  <si>
    <t>蹲式馬桶砌磚工程</t>
  </si>
  <si>
    <t>dazhan-091</t>
  </si>
  <si>
    <t>E038</t>
  </si>
  <si>
    <t>浴廁彈泥防水工程（地坪+牆 面H120cm）</t>
  </si>
  <si>
    <t>慶泰單液彈泥/詳 估價書備註說明</t>
  </si>
  <si>
    <t>dazhan-092</t>
  </si>
  <si>
    <t>E039</t>
  </si>
  <si>
    <t>浴廁不垂流手拌聚脲防水收 邊</t>
  </si>
  <si>
    <t>不垂流手拌聚脲/ 詳估價書備註說明</t>
  </si>
  <si>
    <t>dazhan-093</t>
  </si>
  <si>
    <t>E040</t>
  </si>
  <si>
    <t>陽台地坪彈泥防水工程</t>
  </si>
  <si>
    <t>彈泥防水+角PU/</t>
  </si>
  <si>
    <t>dazhan-094</t>
  </si>
  <si>
    <t>E041</t>
  </si>
  <si>
    <t>陽台L角PU防水</t>
  </si>
  <si>
    <t>詳估價書備註說明</t>
  </si>
  <si>
    <t>dazhan-095</t>
  </si>
  <si>
    <t>E042</t>
  </si>
  <si>
    <t>3MM聚脲防水工程（有覆蓋 材）/屋頂平台</t>
  </si>
  <si>
    <t>慶泰聚脲/詳估價 書備註說明</t>
  </si>
  <si>
    <t>dazhan-096</t>
  </si>
  <si>
    <t>E043</t>
  </si>
  <si>
    <t>3MM聚脲防水工程（無覆蓋 材）/屋突平台、IMF露台</t>
  </si>
  <si>
    <t>dazhan-097</t>
  </si>
  <si>
    <t>E044</t>
  </si>
  <si>
    <t>外廊地坪彈泥防水工程</t>
  </si>
  <si>
    <t>dazhan-098</t>
  </si>
  <si>
    <t>E045</t>
  </si>
  <si>
    <t>防水粉刷-電梯機坑、消防水 池（五面）</t>
  </si>
  <si>
    <t>添加固德強防水砂 漿</t>
  </si>
  <si>
    <t>dazhan-099</t>
  </si>
  <si>
    <t>E046</t>
  </si>
  <si>
    <t>內牆磁磚磨角</t>
  </si>
  <si>
    <t>dazhan-100</t>
  </si>
  <si>
    <t>外部裝修工程</t>
  </si>
  <si>
    <t>F001</t>
  </si>
  <si>
    <t>外牆打底貼二丁掛（深色）/平 磚</t>
  </si>
  <si>
    <t>白馬/璞久石系列 或同級品</t>
  </si>
  <si>
    <t>dazhan-101</t>
  </si>
  <si>
    <t>F002</t>
  </si>
  <si>
    <t>外牆彩色鋼板（清板）/275企 口型扣合式烤漆鋼板</t>
  </si>
  <si>
    <t>dazhan-102</t>
  </si>
  <si>
    <t>F004</t>
  </si>
  <si>
    <t>外牆1:3MT噴仿清水模塗料/ 鈴鹿</t>
  </si>
  <si>
    <t>dazhan-103</t>
  </si>
  <si>
    <t>F005</t>
  </si>
  <si>
    <t>外牆1:3MT噴單彩塗料/鈴鹿- 細緻紋理（淺色）</t>
  </si>
  <si>
    <t>dazhan-104</t>
  </si>
  <si>
    <t>F006</t>
  </si>
  <si>
    <t>外牆塗料滴水條</t>
  </si>
  <si>
    <t>dazhan-105</t>
  </si>
  <si>
    <t>F007</t>
  </si>
  <si>
    <t>外牆1:3MT噴防塵漆（虹牌 SA3000）</t>
  </si>
  <si>
    <t>虹牌/底漆（410- 1+467AD）+面漆 （SA3000）*3道</t>
  </si>
  <si>
    <t>dazhan-106</t>
  </si>
  <si>
    <t>F008</t>
  </si>
  <si>
    <t>外牆滴水條（防塵漆處）</t>
  </si>
  <si>
    <t>dazhan-107</t>
  </si>
  <si>
    <t>F009</t>
  </si>
  <si>
    <t>外牆1:3水泥粉光/RF內立面</t>
  </si>
  <si>
    <t>dazhan-108</t>
  </si>
  <si>
    <t>F010</t>
  </si>
  <si>
    <t>外牆打底抿石子（1.2分宜蘭 石）/外廊立面外露處</t>
  </si>
  <si>
    <t>dazhan-109</t>
  </si>
  <si>
    <t>F011</t>
  </si>
  <si>
    <t>外牆鋁包板（2.5t）/鋁本色 （含骨架）</t>
  </si>
  <si>
    <t>氟碳烤漆Kynar500 二塗一烤</t>
  </si>
  <si>
    <t>dazhan-110</t>
  </si>
  <si>
    <t>F012</t>
  </si>
  <si>
    <t>雨遮不銹鋼工程（1.5t）/毛絲 面</t>
  </si>
  <si>
    <t>dazhan-111</t>
  </si>
  <si>
    <t>F013</t>
  </si>
  <si>
    <t>東向正立面牌樓RF版頂地坪 PU防水工程（無覆蓋材）</t>
  </si>
  <si>
    <t>3MM單液PU/詳估價 書備註說明</t>
  </si>
  <si>
    <t>dazhan-112</t>
  </si>
  <si>
    <t>F014</t>
  </si>
  <si>
    <t>外牆彈泥防水工程（結構體）/ 鋁包板、企口板處</t>
  </si>
  <si>
    <t>dazhan-113</t>
  </si>
  <si>
    <t>F015</t>
  </si>
  <si>
    <t>外牆彈泥防水工程（打底面）/ 貼磚處</t>
  </si>
  <si>
    <t>dazhan-114</t>
  </si>
  <si>
    <t>F016</t>
  </si>
  <si>
    <t>外牆彈泥防水工程（打底面）/ 帽蓋</t>
  </si>
  <si>
    <t>dazhan-115</t>
  </si>
  <si>
    <t>F017</t>
  </si>
  <si>
    <t>造型不銹鋼沖孔版 （2t）/2F/H290cm</t>
  </si>
  <si>
    <t>片</t>
  </si>
  <si>
    <t>dazhan-116</t>
  </si>
  <si>
    <t>F018</t>
  </si>
  <si>
    <t>造型不銹鋼沖孔版 （2t）/3F/H450cm</t>
  </si>
  <si>
    <t>dazhan-117</t>
  </si>
  <si>
    <t>F019</t>
  </si>
  <si>
    <t>磁磚收邊條</t>
  </si>
  <si>
    <t>dazhan-118</t>
  </si>
  <si>
    <t>F020</t>
  </si>
  <si>
    <t>樓層版接縫防水</t>
  </si>
  <si>
    <t>dazhan-119</t>
  </si>
  <si>
    <t>F021</t>
  </si>
  <si>
    <t>二次接縫防水</t>
  </si>
  <si>
    <t>不垂流聚脲/詳估 價書備註說明</t>
  </si>
  <si>
    <t>dazhan-120</t>
  </si>
  <si>
    <t>F022</t>
  </si>
  <si>
    <t>外牆磁磚磨角</t>
  </si>
  <si>
    <t>dazhan-121</t>
  </si>
  <si>
    <t>G001</t>
  </si>
  <si>
    <t>D1（80*220）浴廁ABS門</t>
  </si>
  <si>
    <t>後裝框/深胡黑單 直卡/水平鎖</t>
  </si>
  <si>
    <t>dazhan-122</t>
  </si>
  <si>
    <t>G002</t>
  </si>
  <si>
    <t>D2（90*210）浴廁ABS横拉門</t>
  </si>
  <si>
    <t>深胡黑雙直卡/上 滑輪.下導軌/型 指示勾鎖/大把手</t>
  </si>
  <si>
    <t>dazhan-123</t>
  </si>
  <si>
    <t>G003</t>
  </si>
  <si>
    <t>D3（100*220）美耐板門</t>
  </si>
  <si>
    <t>後裝框/安勝美耐 板-平面/水平鎖/ 門止</t>
  </si>
  <si>
    <t>dazhan-124</t>
  </si>
  <si>
    <t>G004</t>
  </si>
  <si>
    <t>D3a（100*220）烤漆鋼板防火 門（60A）/具遮煙性</t>
  </si>
  <si>
    <t>單玄關/粉體烤漆/ 平板門/水平輔助 鎖/旗型鉸鍊/門弓 器</t>
  </si>
  <si>
    <t>dazhan-125</t>
  </si>
  <si>
    <t>G005</t>
  </si>
  <si>
    <t>D4（100*210）鍍鋅烤漆鋼板門 /具遮煙性</t>
  </si>
  <si>
    <t>單玄關/粉體烤漆/ 平板門/平推鎖/N 型取手/旗型鉸鍊/ 門弓器</t>
  </si>
  <si>
    <t>dazhan-126</t>
  </si>
  <si>
    <t>G006</t>
  </si>
  <si>
    <t>D5（90*220）美耐板門</t>
  </si>
  <si>
    <t>dazhan-127</t>
  </si>
  <si>
    <t>G007</t>
  </si>
  <si>
    <t>二工D5（90*220）美耐板門</t>
  </si>
  <si>
    <t>後裝框/安勝美耐 板一平面/水平鎖/ 門止</t>
  </si>
  <si>
    <t>dazhan-128</t>
  </si>
  <si>
    <t>G008</t>
  </si>
  <si>
    <t>D6（120*250） 鋁框玻璃門</t>
  </si>
  <si>
    <t>信元雙開</t>
  </si>
  <si>
    <t>dazhan-129</t>
  </si>
  <si>
    <t>G009</t>
  </si>
  <si>
    <t>D6-1（200*140）横拉鋁窗</t>
  </si>
  <si>
    <t>信元1060-2B</t>
  </si>
  <si>
    <t>dazhan-130</t>
  </si>
  <si>
    <t>G010</t>
  </si>
  <si>
    <t>D6-2（375*140）橫拉鋁窗/雙 併</t>
  </si>
  <si>
    <t>信元1060-2B*2</t>
  </si>
  <si>
    <t>dazhan-131</t>
  </si>
  <si>
    <t>G011</t>
  </si>
  <si>
    <t>D6-3（（80+335+80）*140）角窗 +横拉鋁窗</t>
  </si>
  <si>
    <t>信元1060- 2B*2+F*2+90度</t>
  </si>
  <si>
    <t>dazhan-132</t>
  </si>
  <si>
    <t>G012</t>
  </si>
  <si>
    <t>D7（95*220）三合一通風鋁門</t>
  </si>
  <si>
    <t>信元通風門</t>
  </si>
  <si>
    <t>dazhan-133</t>
  </si>
  <si>
    <t>G013</t>
  </si>
  <si>
    <t>二工D7（95*220）三合一通風鋁門</t>
  </si>
  <si>
    <t>dazhan-134</t>
  </si>
  <si>
    <t>G014</t>
  </si>
  <si>
    <t>D8（140*240）雙開鍍鋅烤漆鋼 板門/具遮煙性（含不銹鋼門 檻）</t>
  </si>
  <si>
    <t>單玄關/粉體烤漆/ 平板門/自動鎖/方 型取手/旗型鉸鍊/ 門马器</t>
  </si>
  <si>
    <t>dazhan-135</t>
  </si>
  <si>
    <t>G015</t>
  </si>
  <si>
    <t>D9（150*240）雙開鍍鋅烤漆鋼 板門（含不銹鋼門檻）</t>
  </si>
  <si>
    <t>dazhan-136</t>
  </si>
  <si>
    <t>G016</t>
  </si>
  <si>
    <t>D9a（150*240）雙開烤漆鋼板 防火門（60A）/具遮煙性（含不 銹鋼門檻）</t>
  </si>
  <si>
    <t>dazhan-137</t>
  </si>
  <si>
    <t>G017</t>
  </si>
  <si>
    <t>D10（180*240）雙開鍍鋅烤漆 鋼板門（含不銹鋼門檻）</t>
  </si>
  <si>
    <t>單玄關/粉體烤漆/ 平板門/自動鎖/方 型取手/旗型鉸鍊/ 門弓器</t>
  </si>
  <si>
    <t>dazhan-138</t>
  </si>
  <si>
    <t>G018</t>
  </si>
  <si>
    <t>W11+D11+W11（（265+290+265） *330）推射＋固定鋁窗＋推開鋁 門（開天-格柵板）</t>
  </si>
  <si>
    <t>信元1066-SU/F*3+ 雙開門/上方管</t>
  </si>
  <si>
    <t>dazhan-139</t>
  </si>
  <si>
    <t>G019</t>
  </si>
  <si>
    <t>D12（160*240）鍍鋅烤漆鋼板 横拉門/含8mm清強化視窗玻 璃</t>
  </si>
  <si>
    <t>單玄關/粉體烤漆/ 冂形把手/滑軌組/ 吊輪組/導輪</t>
  </si>
  <si>
    <t>dazhan-140</t>
  </si>
  <si>
    <t>G020</t>
  </si>
  <si>
    <t>D13（100*210）無障礙廁所ABS 橫拉門</t>
  </si>
  <si>
    <t>dazhan-141</t>
  </si>
  <si>
    <t>G021</t>
  </si>
  <si>
    <t>D14（90*220）鍍鋅烤漆鋼板橫 拉門/含8mm清強化視窗玻璃</t>
  </si>
  <si>
    <t>dazhan-142</t>
  </si>
  <si>
    <t>G022</t>
  </si>
  <si>
    <t>二工D14（90*220）鍍鋅烤漆鋼 板横拉門/含8mm清強化視窗 玻璃</t>
  </si>
  <si>
    <t>dazhan-143</t>
  </si>
  <si>
    <t>G023</t>
  </si>
  <si>
    <t>二工D15（260*240）雙開烤漆 鋼板防火門（60A）（含不鏽鋼 門檻）</t>
  </si>
  <si>
    <t>dazhan-144</t>
  </si>
  <si>
    <t>G024</t>
  </si>
  <si>
    <t>FD1（100*220）烤漆鋼板防火 門（60A）/具遮煙性</t>
  </si>
  <si>
    <t>dazhan-145</t>
  </si>
  <si>
    <t>G025</t>
  </si>
  <si>
    <t>二工FD1（100*220）烤漆鋼板 防火門（60A）/具遮煙性</t>
  </si>
  <si>
    <t>dazhan-146</t>
  </si>
  <si>
    <t>G026</t>
  </si>
  <si>
    <t>FD2（120*220）烤漆鋼板防火 門（60A）</t>
  </si>
  <si>
    <t>dazhan-147</t>
  </si>
  <si>
    <t>G027</t>
  </si>
  <si>
    <t>FD3（180*240）烤漆鋼板防火 門（60A）/子母門（含不銹鋼門 檻）</t>
  </si>
  <si>
    <t>dazhan-148</t>
  </si>
  <si>
    <t>G028</t>
  </si>
  <si>
    <t>FD4（100*220）烤漆鋼板防火 門（60A）</t>
  </si>
  <si>
    <t>dazhan-149</t>
  </si>
  <si>
    <t>G029</t>
  </si>
  <si>
    <t>使照FD4（100*220）烤漆鋼板 防火門（60A）</t>
  </si>
  <si>
    <t>dazhan-150</t>
  </si>
  <si>
    <t>G030</t>
  </si>
  <si>
    <t>FD5（205*240）雙開烤漆鋼板 防火門（60A）（含不銹鋼門檻）</t>
  </si>
  <si>
    <t>dazhan-151</t>
  </si>
  <si>
    <t>G031</t>
  </si>
  <si>
    <t>SD1（520*360）電動鋁合金快 速捲門</t>
  </si>
  <si>
    <t>門片雙層/單刷鋁 擠成型白鐵邊柱/ 烤漆封板3面</t>
  </si>
  <si>
    <t>dazhan-152</t>
  </si>
  <si>
    <t>G032</t>
  </si>
  <si>
    <t>SD2（520*400）電動鋁合金快 速捲門</t>
  </si>
  <si>
    <t>dazhan-153</t>
  </si>
  <si>
    <t>G033</t>
  </si>
  <si>
    <t>SFD1（200*380）烤漆鍍鋅防火 鐵捲門（60A）</t>
  </si>
  <si>
    <t>dazhan-154</t>
  </si>
  <si>
    <t>G034</t>
  </si>
  <si>
    <t>SFD2（450*380）烤漆鍍鋅防火 鐵捲門（60A）</t>
  </si>
  <si>
    <t>dazhan-155</t>
  </si>
  <si>
    <t>G035</t>
  </si>
  <si>
    <t>SFD3（455*380）烤漆鍍鋅防火 鐵捲門（60A）</t>
  </si>
  <si>
    <t>dazhan-156</t>
  </si>
  <si>
    <t>G037</t>
  </si>
  <si>
    <t>二工W（110*190）推開鋁窗</t>
  </si>
  <si>
    <t>信元1066-S</t>
  </si>
  <si>
    <t>dazhan-157</t>
  </si>
  <si>
    <t>G038</t>
  </si>
  <si>
    <t>W1（70*140）推開鋁窗</t>
  </si>
  <si>
    <t>dazhan-158</t>
  </si>
  <si>
    <t>G039</t>
  </si>
  <si>
    <t>W1a（60*120）推開鋁窗</t>
  </si>
  <si>
    <t>dazhan-159</t>
  </si>
  <si>
    <t>G040</t>
  </si>
  <si>
    <t>W2（120*330）固定鋁窗</t>
  </si>
  <si>
    <t>信元1066-SU/F</t>
  </si>
  <si>
    <t>dazhan-160</t>
  </si>
  <si>
    <t>G041</t>
  </si>
  <si>
    <t>W3（215*210）横拉鋁窗</t>
  </si>
  <si>
    <t>dazhan-161</t>
  </si>
  <si>
    <t>G042</t>
  </si>
  <si>
    <t>二工W3（215*210）横拉鋁窗</t>
  </si>
  <si>
    <t>dazhan-162</t>
  </si>
  <si>
    <t>G043</t>
  </si>
  <si>
    <t>W4+W5（（425+320）*210）横拉 鋁窗/併窗</t>
  </si>
  <si>
    <t>信元1060-4B+3B</t>
  </si>
  <si>
    <t>dazhan-163</t>
  </si>
  <si>
    <t>G044</t>
  </si>
  <si>
    <t>二工W4+W5（（425+320）*210） 横拉鋁窗/併窗</t>
  </si>
  <si>
    <t>dazhan-164</t>
  </si>
  <si>
    <t>G045</t>
  </si>
  <si>
    <t>二工W4+W5鋁窗預埋框</t>
  </si>
  <si>
    <t>抓920元/M</t>
  </si>
  <si>
    <t>dazhan-165</t>
  </si>
  <si>
    <t>G046</t>
  </si>
  <si>
    <t>W5（320*210）横拉鋁窗</t>
  </si>
  <si>
    <t>信元1060-3B</t>
  </si>
  <si>
    <t>dazhan-166</t>
  </si>
  <si>
    <t>G047</t>
  </si>
  <si>
    <t>W6（200*60）固定鋁窗</t>
  </si>
  <si>
    <t>信元1066-F</t>
  </si>
  <si>
    <t>dazhan-167</t>
  </si>
  <si>
    <t>G048</t>
  </si>
  <si>
    <t>W7（350*80）固定鋁窗</t>
  </si>
  <si>
    <t>dazhan-168</t>
  </si>
  <si>
    <t>G049</t>
  </si>
  <si>
    <t>W9（180*70）推射鋁窗</t>
  </si>
  <si>
    <t>信元1066-SU*2</t>
  </si>
  <si>
    <t>dazhan-169</t>
  </si>
  <si>
    <t>G050</t>
  </si>
  <si>
    <t>W9併（720*70）推射鋁窗/四併</t>
  </si>
  <si>
    <t>信元1066-SU*8</t>
  </si>
  <si>
    <t>dazhan-170</t>
  </si>
  <si>
    <t>G051</t>
  </si>
  <si>
    <t>W10-1（210*330）推射+固定鋁 窗</t>
  </si>
  <si>
    <t>信元1066-SU/F*2</t>
  </si>
  <si>
    <t>dazhan-171</t>
  </si>
  <si>
    <t>G052</t>
  </si>
  <si>
    <t>W10-2（510*330）推射+固定鋁 窗＋推開門</t>
  </si>
  <si>
    <t>信元1066-SU/P*4+ 單開</t>
  </si>
  <si>
    <t>dazhan-172</t>
  </si>
  <si>
    <t>G053</t>
  </si>
  <si>
    <t>W10-3a（810*330）推射+固定 鋁窗</t>
  </si>
  <si>
    <t>信元1066-SU/F*8</t>
  </si>
  <si>
    <t>dazhan-173</t>
  </si>
  <si>
    <t>G054</t>
  </si>
  <si>
    <t>W10-3b（810*330）推射+固定 鋁窗＋推開門</t>
  </si>
  <si>
    <t>信元1066-SU/F*6+ 單開*2</t>
  </si>
  <si>
    <t>dazhan-174</t>
  </si>
  <si>
    <t>G055</t>
  </si>
  <si>
    <t>W12（610*245）固定鋁窗＋雙推 開鋁門</t>
  </si>
  <si>
    <t>信元1066-F*4+雙 開</t>
  </si>
  <si>
    <t>dazhan-175</t>
  </si>
  <si>
    <t>G056</t>
  </si>
  <si>
    <t>W13（（430+150+250）*1050）鋁 帷幕窗</t>
  </si>
  <si>
    <t>dazhan-176</t>
  </si>
  <si>
    <t>G057</t>
  </si>
  <si>
    <t>鋁帷幕防火層問塞</t>
  </si>
  <si>
    <t>dazhan-177</t>
  </si>
  <si>
    <t>G058</t>
  </si>
  <si>
    <t>BW1（120*120）防火百葉窗（鍍 鋅鋼板）60A</t>
  </si>
  <si>
    <t>dazhan-178</t>
  </si>
  <si>
    <t>G059</t>
  </si>
  <si>
    <t>BW2（810*70）鋁百葉窗</t>
  </si>
  <si>
    <t>信元/固定式</t>
  </si>
  <si>
    <t>dazhan-179</t>
  </si>
  <si>
    <t>G060</t>
  </si>
  <si>
    <t>5mm強化玻璃（灰）</t>
  </si>
  <si>
    <t>才</t>
  </si>
  <si>
    <t>D7</t>
  </si>
  <si>
    <t>dazhan-180</t>
  </si>
  <si>
    <t>G061</t>
  </si>
  <si>
    <t>5MM+5MM膠合玻璃（雙強）/灰＋清</t>
  </si>
  <si>
    <t>dazhan-181</t>
  </si>
  <si>
    <t>G062</t>
  </si>
  <si>
    <t>5MM+5MM膠合玻璃（雙強） /灰＋清/W7超大</t>
  </si>
  <si>
    <t>dazhan-182</t>
  </si>
  <si>
    <t>G063</t>
  </si>
  <si>
    <t>5MM+5MM膠 合玻璃（雙強） /灰＋清/W13鋁帷幕</t>
  </si>
  <si>
    <t>dazhan-183</t>
  </si>
  <si>
    <t>G064</t>
  </si>
  <si>
    <t>門窗嵌縫/鋁門窗</t>
  </si>
  <si>
    <t>dazhan-184</t>
  </si>
  <si>
    <t>G065</t>
  </si>
  <si>
    <t>門窗嵌縫/金屬門</t>
  </si>
  <si>
    <t>dazhan-185</t>
  </si>
  <si>
    <t>G066</t>
  </si>
  <si>
    <t>窗框彈泥/結構體</t>
  </si>
  <si>
    <t>慶泰单液弹泥/ 估價書備註說明</t>
  </si>
  <si>
    <t>dazhan-186</t>
  </si>
  <si>
    <t>G067</t>
  </si>
  <si>
    <t>窗框下緣/不垂流PU</t>
  </si>
  <si>
    <t>不垂流PU/詳估價 書備註說明</t>
  </si>
  <si>
    <t>dazhan-187</t>
  </si>
  <si>
    <t>G068</t>
  </si>
  <si>
    <t>門窗框防水矽力康/GM</t>
  </si>
  <si>
    <t>道康寧#GM</t>
  </si>
  <si>
    <t>dazhan-188</t>
  </si>
  <si>
    <t>G069</t>
  </si>
  <si>
    <t>門窗框防水矽力康/#818</t>
  </si>
  <si>
    <t>道康寧#818</t>
  </si>
  <si>
    <t>dazhan-189</t>
  </si>
  <si>
    <t>裝修什項工程</t>
  </si>
  <si>
    <t>H001</t>
  </si>
  <si>
    <t>樓梯實木扶手H80cm</t>
  </si>
  <si>
    <t>dazhan-190</t>
  </si>
  <si>
    <t>H002</t>
  </si>
  <si>
    <t>無障礙坡道不銹鋼欄杆H95cm</t>
  </si>
  <si>
    <t>毛絲面</t>
  </si>
  <si>
    <t>dazhan-191</t>
  </si>
  <si>
    <t>H003</t>
  </si>
  <si>
    <t>側掛式不銹鋼欄杆崁玻璃 H175cm（毛絲面）</t>
  </si>
  <si>
    <t>IMF參觀平台</t>
  </si>
  <si>
    <t>dazhan-192</t>
  </si>
  <si>
    <t>H004</t>
  </si>
  <si>
    <t>陽台不銹鋼欄杆H100cm</t>
  </si>
  <si>
    <t>dazhan-193</t>
  </si>
  <si>
    <t>H005</t>
  </si>
  <si>
    <t>陽台不銹鋼欄杆滑軌門 （L630*H110cm）</t>
  </si>
  <si>
    <t>dazhan-194</t>
  </si>
  <si>
    <t>H006</t>
  </si>
  <si>
    <t>（80*80）不銹鋼人孔蓋（上掀 式）/消防水池</t>
  </si>
  <si>
    <t>dazhan-195</t>
  </si>
  <si>
    <t>H007</t>
  </si>
  <si>
    <t>2"*1"不銹鋼爬梯H125cm/消 防水池</t>
  </si>
  <si>
    <t>dazhan-196</t>
  </si>
  <si>
    <t>H008</t>
  </si>
  <si>
    <t>2"*1"不鏽鋼爬梯H650cm（含 彎.含護籠）/屋頂平台</t>
  </si>
  <si>
    <t>dazhan-197</t>
  </si>
  <si>
    <t>H009</t>
  </si>
  <si>
    <t>廁所搗擺（ABS素色）H210cm</t>
  </si>
  <si>
    <t>dazhan-198</t>
  </si>
  <si>
    <t>H010</t>
  </si>
  <si>
    <t>小便斗隔屏（45*90cm）</t>
  </si>
  <si>
    <t>dazhan-199</t>
  </si>
  <si>
    <t>H011</t>
  </si>
  <si>
    <t>不鏽鋼門檻L180cm/D11</t>
  </si>
  <si>
    <t>dazhan-200</t>
  </si>
  <si>
    <t>H012</t>
  </si>
  <si>
    <t>不鏽鋼門檻L205cm/W12</t>
  </si>
  <si>
    <t>dazhan-201</t>
  </si>
  <si>
    <t>H013</t>
  </si>
  <si>
    <t>人造石門檻L80cm/DI</t>
  </si>
  <si>
    <t>dazhan-202</t>
  </si>
  <si>
    <t>H014</t>
  </si>
  <si>
    <t>不銹鋼截水溝L100cm/D2</t>
  </si>
  <si>
    <t>dazhan-203</t>
  </si>
  <si>
    <t>H015</t>
  </si>
  <si>
    <t>不銹鋼截水溝 L110cm/D13*1+D2*2+1F通道</t>
  </si>
  <si>
    <t>dazhan-204</t>
  </si>
  <si>
    <t>H016</t>
  </si>
  <si>
    <t>不銹鋼截水溝L130cm/2F通道</t>
  </si>
  <si>
    <t>dazhan-205</t>
  </si>
  <si>
    <t>H018</t>
  </si>
  <si>
    <t>無障礙地坪警示帶/電梯 （30*60）</t>
  </si>
  <si>
    <t>dazhan-206</t>
  </si>
  <si>
    <t>H019</t>
  </si>
  <si>
    <t>無障礙地坪警示帶/樓梯 （30*120）</t>
  </si>
  <si>
    <t>dazhan-207</t>
  </si>
  <si>
    <t>H020</t>
  </si>
  <si>
    <t>無障礙標示牌</t>
  </si>
  <si>
    <t>dazhan-208</t>
  </si>
  <si>
    <t>公共設施工程</t>
  </si>
  <si>
    <t>K001</t>
  </si>
  <si>
    <t>東向正立面前戶外地坪結構 體工程</t>
  </si>
  <si>
    <t>整體粉光（刷毛）- 無裝修材</t>
  </si>
  <si>
    <t>dazhan-209</t>
  </si>
  <si>
    <t>K002</t>
  </si>
  <si>
    <t>（2. 5CMD）10人份RC預鑄式污 水處理設施</t>
  </si>
  <si>
    <t>dazhan-210</t>
  </si>
  <si>
    <t>K003</t>
  </si>
  <si>
    <t>污水處理鑄鐵蓋</t>
  </si>
  <si>
    <t>dazhan-211</t>
  </si>
  <si>
    <t>K004</t>
  </si>
  <si>
    <t>RC開關閥箱（含蓋）</t>
  </si>
  <si>
    <t>只</t>
  </si>
  <si>
    <t>dazhan-212</t>
  </si>
  <si>
    <t>K005</t>
  </si>
  <si>
    <t>自設汙水陰井人孔（內徑孕 90*175）/含蓋</t>
  </si>
  <si>
    <t>dazhan-213</t>
  </si>
  <si>
    <t>K009</t>
  </si>
  <si>
    <t>集水陰井（含鍍鋅格柵 蓋）/（內徑60*60*90）</t>
  </si>
  <si>
    <t>dazhan-214</t>
  </si>
  <si>
    <t>K010</t>
  </si>
  <si>
    <t>6"PVC排水暗管工程</t>
  </si>
  <si>
    <t>dazhan-215</t>
  </si>
  <si>
    <t>K011</t>
  </si>
  <si>
    <t>使照綠化工程</t>
  </si>
  <si>
    <t>dazhan-216</t>
  </si>
  <si>
    <t>K012</t>
  </si>
  <si>
    <t>使照停車位劃線工程</t>
  </si>
  <si>
    <t>dazhan-217</t>
  </si>
  <si>
    <t>K013</t>
  </si>
  <si>
    <t>使照臨時隔間工程</t>
  </si>
  <si>
    <t>dazhan-218</t>
  </si>
  <si>
    <t>運什費</t>
  </si>
  <si>
    <t>P001</t>
  </si>
  <si>
    <t>總表費用</t>
  </si>
  <si>
    <t>dazhan-219</t>
  </si>
  <si>
    <t>P002</t>
  </si>
  <si>
    <t>安全防護措施</t>
  </si>
  <si>
    <t>dazhan-220</t>
  </si>
  <si>
    <t>P003</t>
  </si>
  <si>
    <t>結構體粗胚清潔及生活垃圾 清運</t>
  </si>
  <si>
    <t>dazhan-221</t>
  </si>
  <si>
    <t>P004</t>
  </si>
  <si>
    <t>交屋清潔工程</t>
  </si>
  <si>
    <t>dazhan-222</t>
  </si>
  <si>
    <t>P005</t>
  </si>
  <si>
    <t>主管機關相關流程跑照費用</t>
  </si>
  <si>
    <t>dazhan-223</t>
  </si>
  <si>
    <t>P006</t>
  </si>
  <si>
    <t>勞工安全衛生管理費</t>
  </si>
  <si>
    <t>dazhan-224</t>
  </si>
  <si>
    <t>P007</t>
  </si>
  <si>
    <t>工程綜合保險費</t>
  </si>
  <si>
    <t>dazhan-225</t>
  </si>
  <si>
    <t>管理費</t>
  </si>
  <si>
    <t>Q001</t>
  </si>
  <si>
    <t>dazhan-226</t>
  </si>
  <si>
    <t>利潤及稅捐</t>
  </si>
  <si>
    <t>Z002</t>
  </si>
  <si>
    <t>利潤</t>
  </si>
  <si>
    <t>dazhan-227</t>
  </si>
  <si>
    <t>Z003</t>
  </si>
  <si>
    <t>稅捐</t>
  </si>
  <si>
    <t>lidong-001</t>
  </si>
  <si>
    <t>1</t>
  </si>
  <si>
    <t>基地整地</t>
  </si>
  <si>
    <t>lidong-002</t>
  </si>
  <si>
    <t>2</t>
  </si>
  <si>
    <t>甲種安全圍籬含止水墩</t>
  </si>
  <si>
    <t>lidong-003</t>
  </si>
  <si>
    <t>3</t>
  </si>
  <si>
    <t>夜間照明及警示設施</t>
  </si>
  <si>
    <t>lidong-004</t>
  </si>
  <si>
    <t>4</t>
  </si>
  <si>
    <t>臨時工務所設置(含事務所設備費)</t>
  </si>
  <si>
    <t>lidong-005</t>
  </si>
  <si>
    <t>5</t>
  </si>
  <si>
    <t>施工用臨時水電代辦,供應各樓層工料,自動灑水養護設備及 維護費</t>
  </si>
  <si>
    <t>甲方提供</t>
  </si>
  <si>
    <t>原單未列金額；不視為零元或已含。</t>
  </si>
  <si>
    <t>lidong-006</t>
  </si>
  <si>
    <t>6</t>
  </si>
  <si>
    <t>工地用臨時水電費用</t>
  </si>
  <si>
    <t>lidong-007</t>
  </si>
  <si>
    <t>7</t>
  </si>
  <si>
    <t>工地用臨時電話設施及使用費</t>
  </si>
  <si>
    <t>lidong-008</t>
  </si>
  <si>
    <t>8</t>
  </si>
  <si>
    <t>新建築物廢棄物證明及處理費</t>
  </si>
  <si>
    <t>lidong-009</t>
  </si>
  <si>
    <t>9</t>
  </si>
  <si>
    <t>活動臨時廁所(含維護及汙水處理)</t>
  </si>
  <si>
    <t>lidong-010</t>
  </si>
  <si>
    <t>10</t>
  </si>
  <si>
    <t>結構體完成清理運棄</t>
  </si>
  <si>
    <t>建坪</t>
  </si>
  <si>
    <t>lidong-011</t>
  </si>
  <si>
    <t>11</t>
  </si>
  <si>
    <t>交屋清潔費</t>
  </si>
  <si>
    <t>lidong-012</t>
  </si>
  <si>
    <t>12</t>
  </si>
  <si>
    <t>垂直垃圾管道及垃圾堆置清運</t>
  </si>
  <si>
    <t>lidong-013</t>
  </si>
  <si>
    <t>13</t>
  </si>
  <si>
    <t>洗車台及沖洗設備</t>
  </si>
  <si>
    <t>lidong-014</t>
  </si>
  <si>
    <t>14</t>
  </si>
  <si>
    <t>週邊環境維護費</t>
  </si>
  <si>
    <t>lidong-015</t>
  </si>
  <si>
    <t>15</t>
  </si>
  <si>
    <t>既有公共排水溝維護費</t>
  </si>
  <si>
    <t>lidong-016</t>
  </si>
  <si>
    <t>16</t>
  </si>
  <si>
    <t>雜項費用(含監視設備)</t>
  </si>
  <si>
    <t>基地周邊監視器</t>
  </si>
  <si>
    <t>lidong-017</t>
  </si>
  <si>
    <t>17</t>
  </si>
  <si>
    <t>材料及設備試(檢)驗費.(含鋼筋、混凝土...等依據施工說明書 應送試驗之材料及設備)</t>
  </si>
  <si>
    <t>lidong-018</t>
  </si>
  <si>
    <t>18</t>
  </si>
  <si>
    <t>勘驗費及完工後使用執照請領</t>
  </si>
  <si>
    <t>技師勘驗</t>
  </si>
  <si>
    <t>lidong-019</t>
  </si>
  <si>
    <t>結構體工程</t>
  </si>
  <si>
    <t>放樣</t>
  </si>
  <si>
    <t>lidong-020</t>
  </si>
  <si>
    <t>挖土方</t>
  </si>
  <si>
    <t>lidong-021</t>
  </si>
  <si>
    <t>回填土方夯實</t>
  </si>
  <si>
    <t>lidong-022</t>
  </si>
  <si>
    <t>運棄土方 (含證明費)</t>
  </si>
  <si>
    <t>lidong-023</t>
  </si>
  <si>
    <t>普通模板含組立及拆模</t>
  </si>
  <si>
    <t>lidong-024</t>
  </si>
  <si>
    <t>中拉力鋼筋及彎紮組立(SD280)</t>
  </si>
  <si>
    <t>lidong-025</t>
  </si>
  <si>
    <t>高拉力鋼筋及彎紮組立(SD420)</t>
  </si>
  <si>
    <t>lidong-026</t>
  </si>
  <si>
    <t>2000 PSI預拌混凝土含澆置</t>
  </si>
  <si>
    <t>混凝土：亞東、巨力 …等同等品牌</t>
  </si>
  <si>
    <t>lidong-027</t>
  </si>
  <si>
    <t>4000 PSI預拌混凝土含澆置</t>
  </si>
  <si>
    <t>原複價與四捨五入乘算差額 10 元；保留原值，請確認底層精度。</t>
  </si>
  <si>
    <t>lidong-028</t>
  </si>
  <si>
    <t>外部鍍鋅鋼管鷹架及防護網</t>
  </si>
  <si>
    <t>lidong-029</t>
  </si>
  <si>
    <t>電梯間內部搭鋼管施工架</t>
  </si>
  <si>
    <t>lidong-030</t>
  </si>
  <si>
    <t>內部施工架, 高於4m, 計算立面高</t>
  </si>
  <si>
    <t>lidong-031</t>
  </si>
  <si>
    <t>鋼構一次工程</t>
  </si>
  <si>
    <t>放樣、Ø 22＊1150 基礎螺栓組</t>
  </si>
  <si>
    <t>lidong-032</t>
  </si>
  <si>
    <t>SN490YB H型鋼：400＊400＊13＊21 + 2PL21</t>
  </si>
  <si>
    <t>lidong-033</t>
  </si>
  <si>
    <t>SN490YB H型鋼：400＊400＊13＊21</t>
  </si>
  <si>
    <t>lidong-034</t>
  </si>
  <si>
    <t>SN490YB H型鋼：其他規格</t>
  </si>
  <si>
    <t>lidong-035</t>
  </si>
  <si>
    <t>SN400B 基承板、接合板、加勁板</t>
  </si>
  <si>
    <t>lidong-036</t>
  </si>
  <si>
    <t>A36 鋼梯</t>
  </si>
  <si>
    <t>lidong-037</t>
  </si>
  <si>
    <t>噴砂、磷酸鋅底漆</t>
  </si>
  <si>
    <t>lidong-038</t>
  </si>
  <si>
    <t>廠內加工、現場安裝、燒焊工資</t>
  </si>
  <si>
    <t>lidong-039</t>
  </si>
  <si>
    <t>吊、運費</t>
  </si>
  <si>
    <t>lidong-040</t>
  </si>
  <si>
    <t>F10T 扭矩控制螺栓</t>
  </si>
  <si>
    <t>lidong-041</t>
  </si>
  <si>
    <t>Z275 3W 1.5mm 樓層鋼板</t>
  </si>
  <si>
    <t>lidong-042</t>
  </si>
  <si>
    <t>鋼模止水墩（夾層及二、三樓陽台）</t>
  </si>
  <si>
    <t>lidong-043</t>
  </si>
  <si>
    <t>Ø 19＊115 剪力釘（樓板）</t>
  </si>
  <si>
    <t>lidong-044</t>
  </si>
  <si>
    <t>柱底座無收縮水泥灌注</t>
  </si>
  <si>
    <t>lidong-045</t>
  </si>
  <si>
    <t>鋼構防火漆、面漆</t>
  </si>
  <si>
    <t>lidong-046</t>
  </si>
  <si>
    <t>安全設施、設備、製圖、耗損</t>
  </si>
  <si>
    <t>lidong-047</t>
  </si>
  <si>
    <t>鋼構焊接費用</t>
  </si>
  <si>
    <t>lidong-048</t>
  </si>
  <si>
    <t>鋼構二次工程</t>
  </si>
  <si>
    <t>lidong-049</t>
  </si>
  <si>
    <t>lidong-050</t>
  </si>
  <si>
    <t>lidong-051</t>
  </si>
  <si>
    <t>lidong-052</t>
  </si>
  <si>
    <t>lidong-053</t>
  </si>
  <si>
    <t>lidong-054</t>
  </si>
  <si>
    <t>lidong-055</t>
  </si>
  <si>
    <t>lidong-056</t>
  </si>
  <si>
    <t>lidong-057</t>
  </si>
  <si>
    <t>lidong-058</t>
  </si>
  <si>
    <t>lidong-059</t>
  </si>
  <si>
    <t>lidong-060</t>
  </si>
  <si>
    <t>泥作裝修工程</t>
  </si>
  <si>
    <t>防水工程</t>
  </si>
  <si>
    <t>電梯機坑1:2 防水粉刷 (五面)</t>
  </si>
  <si>
    <t>泥作打底上防水劑</t>
  </si>
  <si>
    <t>lidong-061</t>
  </si>
  <si>
    <t>消防水池坑1:2 防水粉刷 (五面)</t>
  </si>
  <si>
    <t>lidong-062</t>
  </si>
  <si>
    <t>廁所地坪及牆面H=120cm 彈性水泥防水層</t>
  </si>
  <si>
    <t>彈泥-一底二塗</t>
  </si>
  <si>
    <t>lidong-063</t>
  </si>
  <si>
    <t>陽台地坪防水處理 (含滾高)</t>
  </si>
  <si>
    <t>彈泥-五道處理(全面 貼纖維網)</t>
  </si>
  <si>
    <t>lidong-064</t>
  </si>
  <si>
    <t>屋頂平台防水處理 (含滾高)</t>
  </si>
  <si>
    <t>原複價與四捨五入乘算差額 2 元；保留原值，請確認底層精度。</t>
  </si>
  <si>
    <t>lidong-065</t>
  </si>
  <si>
    <t>屋面防水處理 (含滾高)</t>
  </si>
  <si>
    <t>lidong-066</t>
  </si>
  <si>
    <t>外牆窗框防水</t>
  </si>
  <si>
    <t>彈泥-結構體四道+粉 刷層三道</t>
  </si>
  <si>
    <t>lidong-067</t>
  </si>
  <si>
    <t>外牆樓層接縫防水</t>
  </si>
  <si>
    <t>彈泥-結構體四道處 理</t>
  </si>
  <si>
    <t>lidong-068</t>
  </si>
  <si>
    <t>地坪裝修工程</t>
  </si>
  <si>
    <t>地坪1:2 水泥砂漿+ 止滑石英磚(30*30)</t>
  </si>
  <si>
    <t>磁磚材料：30元/片 (國產)</t>
  </si>
  <si>
    <t>lidong-069</t>
  </si>
  <si>
    <t>地坪1:3 水泥砂漿+ 石英磚(30*30)</t>
  </si>
  <si>
    <t>lidong-070</t>
  </si>
  <si>
    <t>地坪整體粉光+EPOXY (色另選)</t>
  </si>
  <si>
    <t>標高器：吸管式 (5mmEPOXY)</t>
  </si>
  <si>
    <t>lidong-071</t>
  </si>
  <si>
    <t>地坪1:3 水泥砂漿+ 止滑雙色樓梯磚(20*27)</t>
  </si>
  <si>
    <t>20*20-9元/片(國產) 20*27-19元/片(國產)</t>
  </si>
  <si>
    <t>lidong-072</t>
  </si>
  <si>
    <t>地坪1:3 水泥砂漿+ 石英磚(60*60)</t>
  </si>
  <si>
    <t>磁磚材料：130元/片 (國產)</t>
  </si>
  <si>
    <t>原複價與四捨五入乘算差額 -2 元；保留原值，請確認底層精度。</t>
  </si>
  <si>
    <t>lidong-073</t>
  </si>
  <si>
    <t>地坪1:3 水泥砂漿+ 大板石英磚(60*120)</t>
  </si>
  <si>
    <t>磁磚材料：400元/片 (國產)</t>
  </si>
  <si>
    <t>lidong-074</t>
  </si>
  <si>
    <t>地坪1:3 水泥砂漿+ 止滑石英磚(30*30)</t>
  </si>
  <si>
    <t>lidong-075</t>
  </si>
  <si>
    <t>地坪1:3 水泥砂漿+ 止滑石英磚(30*60)</t>
  </si>
  <si>
    <t>磁磚材料：58元/片 (國產)</t>
  </si>
  <si>
    <t>lidong-076</t>
  </si>
  <si>
    <t>地坪1:3 水泥砂漿+1.5cm厚磚(30*30)</t>
  </si>
  <si>
    <t>磁磚材料：80元/片 (國產)</t>
  </si>
  <si>
    <t>lidong-077</t>
  </si>
  <si>
    <t>地坪1:3 水泥砂漿+ 石英磚(30*60)</t>
  </si>
  <si>
    <t>lidong-078</t>
  </si>
  <si>
    <t>屋面地坪整體粉光</t>
  </si>
  <si>
    <t>標高器：吸管式</t>
  </si>
  <si>
    <t>lidong-079</t>
  </si>
  <si>
    <t>地坪打底抿石子</t>
  </si>
  <si>
    <t>無障礙坡道及階梯</t>
  </si>
  <si>
    <t>lidong-080</t>
  </si>
  <si>
    <t>平頂裝修工程</t>
  </si>
  <si>
    <t>明架礦纖天花板(60*60)</t>
  </si>
  <si>
    <t>lidong-081</t>
  </si>
  <si>
    <t>暗架矽酸鈣天花板</t>
  </si>
  <si>
    <t>lidong-082</t>
  </si>
  <si>
    <t>內牆裝修工程</t>
  </si>
  <si>
    <t>9cm輕隔間牆</t>
  </si>
  <si>
    <t>矽酸鈣版-不含岩棉</t>
  </si>
  <si>
    <t>lidong-083</t>
  </si>
  <si>
    <t>內牆1:3 水泥砂漿粉光+批土+ 塗水泥漆 (一底二度)</t>
  </si>
  <si>
    <t>lidong-084</t>
  </si>
  <si>
    <t>輕隔間牆表面批土+ 塗水泥漆 (一底二度)</t>
  </si>
  <si>
    <t>lidong-085</t>
  </si>
  <si>
    <t>內牆1:2 水泥砂漿+ 貼瓷磚(30*30)</t>
  </si>
  <si>
    <t>lidong-086</t>
  </si>
  <si>
    <t>輕隔間牆表面貼瓷磚(30*30)</t>
  </si>
  <si>
    <t>lidong-087</t>
  </si>
  <si>
    <t>lidong-088</t>
  </si>
  <si>
    <t>lidong-089</t>
  </si>
  <si>
    <t>外牆裝修工程</t>
  </si>
  <si>
    <t>外牆打底貼丁掛磚 (深色)</t>
  </si>
  <si>
    <t>磁磚材料：2.2元/片 (國產)</t>
  </si>
  <si>
    <t>原複價與四捨五入乘算差額 3 元；保留原值，請確認底層精度。</t>
  </si>
  <si>
    <t>lidong-090</t>
  </si>
  <si>
    <t>外牆金屬包板 (鋁本色)</t>
  </si>
  <si>
    <t>lidong-091</t>
  </si>
  <si>
    <t>外牆金屬- 沖孔板</t>
  </si>
  <si>
    <t>lidong-092</t>
  </si>
  <si>
    <t>外牆1:3 水泥粉光刷塗料 (淺色)</t>
  </si>
  <si>
    <t>塗料：720元/M2 (國產)</t>
  </si>
  <si>
    <t>lidong-093</t>
  </si>
  <si>
    <t>外牆金屬企口板 (色另訂)</t>
  </si>
  <si>
    <t>lidong-094</t>
  </si>
  <si>
    <t>外牆1:3 水泥粉光刷仿清水模塗料</t>
  </si>
  <si>
    <t>塗料：1,100元/M2 (國產)</t>
  </si>
  <si>
    <t>lidong-095</t>
  </si>
  <si>
    <t>外牆1:3 水泥粉光刷防水漆+ 油漆</t>
  </si>
  <si>
    <t>lidong-096</t>
  </si>
  <si>
    <t>女兒牆內側1:3 水泥粉刷</t>
  </si>
  <si>
    <t>lidong-097</t>
  </si>
  <si>
    <t>外牆烤漆鋼板</t>
  </si>
  <si>
    <t>金屬包版</t>
  </si>
  <si>
    <t>lidong-098</t>
  </si>
  <si>
    <t>外牆滴水條</t>
  </si>
  <si>
    <t>lidong-099</t>
  </si>
  <si>
    <t>外牆滴水蓋板W=20cm</t>
  </si>
  <si>
    <t>lidong-100</t>
  </si>
  <si>
    <t>1F入口不銹鋼板雨遮 TH=3cm</t>
  </si>
  <si>
    <t>含相關構件</t>
  </si>
  <si>
    <t>lidong-101</t>
  </si>
  <si>
    <t>BW1 120 x 120 防火百葉窗</t>
  </si>
  <si>
    <t>5清+5灰強化玻璃，附 隱藏式紗窗、三點連動 式開關</t>
  </si>
  <si>
    <t>lidong-102</t>
  </si>
  <si>
    <t>BW2 810 x 70 氣密鋁門窗</t>
  </si>
  <si>
    <t>lidong-103</t>
  </si>
  <si>
    <t>D1 80 x 220 南亞慶祥SMC 門</t>
  </si>
  <si>
    <t>lidong-104</t>
  </si>
  <si>
    <t>D2 90 x 210 南亞慶祥SMC 門</t>
  </si>
  <si>
    <t>lidong-105</t>
  </si>
  <si>
    <t>D3 100 x 220 硫化銅門</t>
  </si>
  <si>
    <t>lidong-106</t>
  </si>
  <si>
    <t>D3a 100 x 220 防火門</t>
  </si>
  <si>
    <t>60B+遮煙</t>
  </si>
  <si>
    <t>lidong-107</t>
  </si>
  <si>
    <t>D4 100 x 210 防火門</t>
  </si>
  <si>
    <t>遮煙</t>
  </si>
  <si>
    <t>lidong-108</t>
  </si>
  <si>
    <t>D5 90 x 220 硫化銅門</t>
  </si>
  <si>
    <t>lidong-109</t>
  </si>
  <si>
    <t>D6 1035 x 140 +120 x 220 硫化銅門+角窗</t>
  </si>
  <si>
    <t>角窗-5清+5灰強化玻璃</t>
  </si>
  <si>
    <t>lidong-110</t>
  </si>
  <si>
    <t>D7 95 x 220 三合一通風門</t>
  </si>
  <si>
    <t>5mm+灰強化玻璃</t>
  </si>
  <si>
    <t>lidong-111</t>
  </si>
  <si>
    <t>D8 140 x 240 防火門</t>
  </si>
  <si>
    <t>lidong-112</t>
  </si>
  <si>
    <t>D9 150 x 240 硫化銅門</t>
  </si>
  <si>
    <t>lidong-113</t>
  </si>
  <si>
    <t>D9a 150 x 240 防火門</t>
  </si>
  <si>
    <t>lidong-114</t>
  </si>
  <si>
    <t>D10 180 x 240 硫化銅門</t>
  </si>
  <si>
    <t>lidong-115</t>
  </si>
  <si>
    <t>D11 290 x 330 硫化銅門</t>
  </si>
  <si>
    <t>lidong-116</t>
  </si>
  <si>
    <t>D12 160 x 240 裝潢門</t>
  </si>
  <si>
    <t>lidong-117</t>
  </si>
  <si>
    <t>D13 100 x 210 南亞慶祥SMC 門</t>
  </si>
  <si>
    <t>無障礙</t>
  </si>
  <si>
    <t>lidong-118</t>
  </si>
  <si>
    <t>D14 90 x 220 裝潢門</t>
  </si>
  <si>
    <t>lidong-119</t>
  </si>
  <si>
    <t>19</t>
  </si>
  <si>
    <t>D15 260 x 240 防火門</t>
  </si>
  <si>
    <t>60B</t>
  </si>
  <si>
    <t>lidong-120</t>
  </si>
  <si>
    <t>20</t>
  </si>
  <si>
    <t>FD1 100 x 220 烤漆鋼板門(防火門標準)</t>
  </si>
  <si>
    <t>60A+遮煙</t>
  </si>
  <si>
    <t>lidong-121</t>
  </si>
  <si>
    <t>21</t>
  </si>
  <si>
    <t>FD2 120 x 220 烤漆鋼板門(防火門標準)</t>
  </si>
  <si>
    <t>lidong-122</t>
  </si>
  <si>
    <t>22</t>
  </si>
  <si>
    <t>FD3 180 x 240 烤漆鋼板門(防火門標準)</t>
  </si>
  <si>
    <t>60A</t>
  </si>
  <si>
    <t>lidong-123</t>
  </si>
  <si>
    <t>23</t>
  </si>
  <si>
    <t>FD4 100 x 220 烤漆鋼板門(防火門標準)</t>
  </si>
  <si>
    <t>lidong-124</t>
  </si>
  <si>
    <t>24</t>
  </si>
  <si>
    <t>FD5 205 x 240 烤漆鋼板門(防火門標準)</t>
  </si>
  <si>
    <t>lidong-125</t>
  </si>
  <si>
    <t>25</t>
  </si>
  <si>
    <t>SD1 520 x (316 + 44) 快速捲門</t>
  </si>
  <si>
    <t>lidong-126</t>
  </si>
  <si>
    <t>26</t>
  </si>
  <si>
    <t>SD2 520 x (352 + 48) 快速捲門</t>
  </si>
  <si>
    <t>lidong-127</t>
  </si>
  <si>
    <t>27</t>
  </si>
  <si>
    <t>SFD1 200 x (336 + 44) 防火捲門</t>
  </si>
  <si>
    <t>lidong-128</t>
  </si>
  <si>
    <t>28</t>
  </si>
  <si>
    <t>SFD2 450 x (332 + 48) 防火捲門</t>
  </si>
  <si>
    <t>lidong-129</t>
  </si>
  <si>
    <t>29</t>
  </si>
  <si>
    <t>SFD3 455 x (336 + 44) 防火捲門</t>
  </si>
  <si>
    <t>lidong-130</t>
  </si>
  <si>
    <t>30</t>
  </si>
  <si>
    <t>W 110 x 190 固定鋁窗</t>
  </si>
  <si>
    <t>5清+5灰強化玻璃</t>
  </si>
  <si>
    <t>lidong-131</t>
  </si>
  <si>
    <t>31</t>
  </si>
  <si>
    <t>W1 70 x 140 氣密鋁門窗</t>
  </si>
  <si>
    <t>lidong-132</t>
  </si>
  <si>
    <t>32</t>
  </si>
  <si>
    <t>W1a 60 x 120 氣密鋁門窗</t>
  </si>
  <si>
    <t>lidong-133</t>
  </si>
  <si>
    <t>33</t>
  </si>
  <si>
    <t>W2 120 x 330 氣密鋁門窗</t>
  </si>
  <si>
    <t>lidong-134</t>
  </si>
  <si>
    <t>34</t>
  </si>
  <si>
    <t>W3 215 x 210 氣密鋁門窗</t>
  </si>
  <si>
    <t>lidong-135</t>
  </si>
  <si>
    <t>35</t>
  </si>
  <si>
    <t>W4 425 x 210 氣密鋁門窗</t>
  </si>
  <si>
    <t>lidong-136</t>
  </si>
  <si>
    <t>36</t>
  </si>
  <si>
    <t>W5 320 x 210 氣密鋁門窗</t>
  </si>
  <si>
    <t>lidong-137</t>
  </si>
  <si>
    <t>37</t>
  </si>
  <si>
    <t>W6 200 x 60 氣密鋁門窗</t>
  </si>
  <si>
    <t>lidong-138</t>
  </si>
  <si>
    <t>38</t>
  </si>
  <si>
    <t>W7 350 x 80 氣密鋁門窗</t>
  </si>
  <si>
    <t>lidong-139</t>
  </si>
  <si>
    <t>39</t>
  </si>
  <si>
    <t>W9 180 x 70 氣密鋁門窗</t>
  </si>
  <si>
    <t>lidong-140</t>
  </si>
  <si>
    <t>40</t>
  </si>
  <si>
    <t>W10-1 210 x 330 氣密鋁門窗</t>
  </si>
  <si>
    <t>lidong-141</t>
  </si>
  <si>
    <t>41</t>
  </si>
  <si>
    <t>W10-2 510 x 330 氣密鋁門窗</t>
  </si>
  <si>
    <t>lidong-142</t>
  </si>
  <si>
    <t>42</t>
  </si>
  <si>
    <t>W10-3 810 x 330 氣密鋁門窗</t>
  </si>
  <si>
    <t>lidong-143</t>
  </si>
  <si>
    <t>43</t>
  </si>
  <si>
    <t>W11 265 x 330 氣密鋁門窗</t>
  </si>
  <si>
    <t>lidong-144</t>
  </si>
  <si>
    <t>44</t>
  </si>
  <si>
    <t>W12 610 x 245 氣密鋁門窗</t>
  </si>
  <si>
    <t>lidong-145</t>
  </si>
  <si>
    <t>45</t>
  </si>
  <si>
    <t>W13-1 150 x 1050 氣密鋁門窗</t>
  </si>
  <si>
    <t>lidong-146</t>
  </si>
  <si>
    <t>46</t>
  </si>
  <si>
    <t>W13-2 250 x 1050 氣密鋁門窗</t>
  </si>
  <si>
    <t>lidong-147</t>
  </si>
  <si>
    <t>47</t>
  </si>
  <si>
    <t>W13-3 430 x 1050 氣密鋁門窗</t>
  </si>
  <si>
    <t>lidong-148</t>
  </si>
  <si>
    <t>雜項工程</t>
  </si>
  <si>
    <t>無障礙電梯(1F-3F,3停) 12人座</t>
  </si>
  <si>
    <t>60 ｍ/min(立穩、國 峰…等同等品牌)</t>
  </si>
  <si>
    <t>lidong-149</t>
  </si>
  <si>
    <t>貨物電梯(1F-2F,2停)</t>
  </si>
  <si>
    <t>30 ｍ/min(立穩、國 峰…等同等品牌)</t>
  </si>
  <si>
    <t>lidong-150</t>
  </si>
  <si>
    <t>電梯開口安全圍柵及防墜網</t>
  </si>
  <si>
    <t>lidong-151</t>
  </si>
  <si>
    <t>電梯開口60B 防火遮煙捲簾</t>
  </si>
  <si>
    <t>lidong-152</t>
  </si>
  <si>
    <t>貨梯開口60B 防火遮煙捲簾</t>
  </si>
  <si>
    <t>lidong-153</t>
  </si>
  <si>
    <t>廁所搗擺含門H=240cm</t>
  </si>
  <si>
    <t>PVC</t>
  </si>
  <si>
    <t>lidong-154</t>
  </si>
  <si>
    <t>小便斗隔屏 50*130cm</t>
  </si>
  <si>
    <t>lidong-155</t>
  </si>
  <si>
    <t>蹲式馬桶墊高H=20cm</t>
  </si>
  <si>
    <t>lidong-156</t>
  </si>
  <si>
    <t>電梯機坑鐵爬梯H=165cm</t>
  </si>
  <si>
    <t>lidong-157</t>
  </si>
  <si>
    <t>消防水池坑不銹鋼爬梯H=115cm</t>
  </si>
  <si>
    <t>lidong-158</t>
  </si>
  <si>
    <t>消防水池人孔蓋70*70cm</t>
  </si>
  <si>
    <t>灰口型</t>
  </si>
  <si>
    <t>lidong-159</t>
  </si>
  <si>
    <t>1F夾層室內玻璃欄杆H=175cm</t>
  </si>
  <si>
    <t>lidong-160</t>
  </si>
  <si>
    <t>陽台金屬欄杆H=100cm</t>
  </si>
  <si>
    <t>lidong-161</t>
  </si>
  <si>
    <t>陽台金屬欄杆H=110cm</t>
  </si>
  <si>
    <t>lidong-162</t>
  </si>
  <si>
    <t>陽台金屬欄杆滑門L315*H110cm</t>
  </si>
  <si>
    <t>lidong-163</t>
  </si>
  <si>
    <t>無障礙坡道玻璃欄杆H=100cm</t>
  </si>
  <si>
    <t>lidong-164</t>
  </si>
  <si>
    <t>無障礙廁所安全扶手</t>
  </si>
  <si>
    <t>間</t>
  </si>
  <si>
    <t>lidong-165</t>
  </si>
  <si>
    <t>金屬公司案名字體及LOGO</t>
  </si>
  <si>
    <t>中文2,英文8,LOGO*2 (無詳圖，暫不估價)</t>
  </si>
  <si>
    <t>lidong-166</t>
  </si>
  <si>
    <t>汽車停車位劃線250*550cm</t>
  </si>
  <si>
    <t>位</t>
  </si>
  <si>
    <t>lidong-167</t>
  </si>
  <si>
    <t>汽車停車位劃線250*600cm</t>
  </si>
  <si>
    <t>lidong-168</t>
  </si>
  <si>
    <t>無障礙停車位劃線350*600cm</t>
  </si>
  <si>
    <t>lidong-169</t>
  </si>
  <si>
    <t>卸貨車停車位劃線400*1240cm</t>
  </si>
  <si>
    <t>lidong-170</t>
  </si>
  <si>
    <t>樓梯櫸木扶手欄杆H=80cm</t>
  </si>
  <si>
    <t>lidong-171</t>
  </si>
  <si>
    <t>陽台門檻</t>
  </si>
  <si>
    <t>不鏽鋼</t>
  </si>
  <si>
    <t>lidong-172</t>
  </si>
  <si>
    <t>出入口門檻</t>
  </si>
  <si>
    <t>lidong-173</t>
  </si>
  <si>
    <t>廁所門檻</t>
  </si>
  <si>
    <t>lidong-174</t>
  </si>
  <si>
    <t>無障礙廁所平式門檻L=100cm</t>
  </si>
  <si>
    <t>D13(不鏽鋼)</t>
  </si>
  <si>
    <t>lidong-175</t>
  </si>
  <si>
    <t>雨遮不銹鋼導水溝W=10cm</t>
  </si>
  <si>
    <t>lidong-176</t>
  </si>
  <si>
    <t>陰井加蓋60*60cm</t>
  </si>
  <si>
    <t>含污水下水道文書</t>
  </si>
  <si>
    <t>lidong-177</t>
  </si>
  <si>
    <t>預鑄式污水處理設施 (10人份)</t>
  </si>
  <si>
    <t>含槽體防護</t>
  </si>
  <si>
    <t>lidong-178</t>
  </si>
  <si>
    <t>無障礙電梯警示帶30*60cm</t>
  </si>
  <si>
    <t>lidong-179</t>
  </si>
  <si>
    <t>無障礙樓梯警示帶30*102cm</t>
  </si>
  <si>
    <t>lidong-180</t>
  </si>
  <si>
    <t>草地 (請照用)</t>
  </si>
  <si>
    <t>lidong-181</t>
  </si>
  <si>
    <t>植草磚 (請照用)</t>
  </si>
  <si>
    <t>lidong-182</t>
  </si>
  <si>
    <t>大樹 (請照用)</t>
  </si>
  <si>
    <t>棵</t>
  </si>
  <si>
    <t>lidong-183</t>
  </si>
  <si>
    <t>小樹 (請照用)</t>
  </si>
  <si>
    <t>株</t>
  </si>
  <si>
    <t>lidong-fee1</t>
  </si>
  <si>
    <t>費用1</t>
  </si>
  <si>
    <t>依原總表列示</t>
  </si>
  <si>
    <t>lidong-fee2</t>
  </si>
  <si>
    <t>勞工安全衛生及品質管理費</t>
  </si>
  <si>
    <t>費用2</t>
  </si>
  <si>
    <t>lidong-fee3</t>
  </si>
  <si>
    <t>工程保險費</t>
  </si>
  <si>
    <t>費用3</t>
  </si>
  <si>
    <t>lidong-fee4</t>
  </si>
  <si>
    <t>費用4</t>
  </si>
  <si>
    <t>lidong-fee5</t>
  </si>
  <si>
    <t>加值營業稅</t>
  </si>
  <si>
    <t>費用5</t>
  </si>
  <si>
    <t>jiyi-001</t>
  </si>
  <si>
    <t>基地整地及廢物運棄</t>
  </si>
  <si>
    <t>jiyi-002</t>
  </si>
  <si>
    <t>工地施工圍籬（含防溢座及噴漆）</t>
  </si>
  <si>
    <t>jiyi-003</t>
  </si>
  <si>
    <t>工.地進出活動大門</t>
  </si>
  <si>
    <t>jiyi-004</t>
  </si>
  <si>
    <t>安全警示燈、工地安全守則、工程告示牌</t>
  </si>
  <si>
    <t>jiyi-005</t>
  </si>
  <si>
    <t>臨時活動廁所</t>
  </si>
  <si>
    <t>jiyi-006</t>
  </si>
  <si>
    <t>申請臨時水，電及工地配管、拉線費</t>
  </si>
  <si>
    <t>威向水電</t>
  </si>
  <si>
    <t>jiyi-007</t>
  </si>
  <si>
    <t>臨時水及通訊.電費使用費</t>
  </si>
  <si>
    <t>月</t>
  </si>
  <si>
    <t>業主自理</t>
  </si>
  <si>
    <t>jiyi-008</t>
  </si>
  <si>
    <t>結構體完成/完工交屋 清潔費</t>
  </si>
  <si>
    <t>jiyi-009</t>
  </si>
  <si>
    <t>外觀及交屋清潔費</t>
  </si>
  <si>
    <t>jiyi-010</t>
  </si>
  <si>
    <t>週邊環境公共設施維護費</t>
  </si>
  <si>
    <t>jiyi-011</t>
  </si>
  <si>
    <t>垃圾管道</t>
  </si>
  <si>
    <t>jiyi-012</t>
  </si>
  <si>
    <t>臨時道路補修及維護</t>
  </si>
  <si>
    <t>jiyi-013</t>
  </si>
  <si>
    <t>勘驗/竣工圖繪製/使用執照申請費</t>
  </si>
  <si>
    <t>jiyi-014</t>
  </si>
  <si>
    <t>開工、上樑、各式典禮及其他未列之雜項費用</t>
  </si>
  <si>
    <t>jiyi-015</t>
  </si>
  <si>
    <t>營造廠技師現場勘驗簽証費</t>
  </si>
  <si>
    <t>次</t>
  </si>
  <si>
    <t>jiyi-016</t>
  </si>
  <si>
    <t>建築物營建廢棄物處理費</t>
  </si>
  <si>
    <t>jiyi-017</t>
  </si>
  <si>
    <t>建築物營建廢棄物申報/完工證明</t>
  </si>
  <si>
    <t>含規費</t>
  </si>
  <si>
    <t>jiyi-018</t>
  </si>
  <si>
    <t>逕流廢水申報</t>
  </si>
  <si>
    <t>jiyi-019</t>
  </si>
  <si>
    <t>工務所設置及雜支</t>
  </si>
  <si>
    <t>jiyi-020</t>
  </si>
  <si>
    <t>品管及材料試驗費</t>
  </si>
  <si>
    <t>jiyi-021</t>
  </si>
  <si>
    <t>臨時工</t>
  </si>
  <si>
    <t>jiyi-022</t>
  </si>
  <si>
    <t>放様</t>
  </si>
  <si>
    <t>jiyi-023</t>
  </si>
  <si>
    <t>jiyi-024</t>
  </si>
  <si>
    <t>2000PSI預拌混凝土壓送澆築</t>
  </si>
  <si>
    <t>jiyi-025</t>
  </si>
  <si>
    <t>回填土夯實</t>
  </si>
  <si>
    <t>jiyi-026</t>
  </si>
  <si>
    <t>系統模板組立及拆除</t>
  </si>
  <si>
    <t>jiyi-027</t>
  </si>
  <si>
    <t>普通模板及清水模板</t>
  </si>
  <si>
    <t>jiyi-028</t>
  </si>
  <si>
    <t>普通鋼筋及彎紮組立SD280（#3-#5）</t>
  </si>
  <si>
    <t>jiyi-029</t>
  </si>
  <si>
    <t>高拉力鋼筋及彎紮組立SD420w（#6-#11）</t>
  </si>
  <si>
    <t>jiyi-030</t>
  </si>
  <si>
    <t>4000PSI預拌混凝土壓送澆築</t>
  </si>
  <si>
    <t>jiyi-031</t>
  </si>
  <si>
    <t>外部鷹架</t>
  </si>
  <si>
    <t>jiyi-032</t>
  </si>
  <si>
    <t>內部施工架</t>
  </si>
  <si>
    <t>jiyi-033</t>
  </si>
  <si>
    <t>1F機台個別結構體（3M*3M*2M）</t>
  </si>
  <si>
    <t>jiyi-034</t>
  </si>
  <si>
    <t>H型鋼</t>
  </si>
  <si>
    <t>SN490YB</t>
  </si>
  <si>
    <t>jiyi-035</t>
  </si>
  <si>
    <t>鐵板接合板加勁板</t>
  </si>
  <si>
    <t>jiyi-036</t>
  </si>
  <si>
    <t>柱封板</t>
  </si>
  <si>
    <t>SN491YB（原文如此，牌號待確認）</t>
  </si>
  <si>
    <t>jiyi-037</t>
  </si>
  <si>
    <t>鋼梯鐵板</t>
  </si>
  <si>
    <t>A36</t>
  </si>
  <si>
    <t>jiyi-038</t>
  </si>
  <si>
    <t>運輸</t>
  </si>
  <si>
    <t>jiyi-039</t>
  </si>
  <si>
    <t>塗裝-噴砂一底一面</t>
  </si>
  <si>
    <t>#36灰</t>
  </si>
  <si>
    <t>jiyi-040</t>
  </si>
  <si>
    <t>鋼梯製作工資</t>
  </si>
  <si>
    <t>jiyi-041</t>
  </si>
  <si>
    <t>RH製作工資</t>
  </si>
  <si>
    <t>jiyi-042</t>
  </si>
  <si>
    <t>組.立工資</t>
  </si>
  <si>
    <t>jiyi-043</t>
  </si>
  <si>
    <t>製圖費用</t>
  </si>
  <si>
    <t>jiyi-044</t>
  </si>
  <si>
    <t>12N*M22基礎螺栓</t>
  </si>
  <si>
    <t>jiyi-045</t>
  </si>
  <si>
    <t>8N*M22基礎螺栓</t>
  </si>
  <si>
    <t>jiyi-046</t>
  </si>
  <si>
    <t>構件組立螺栓-F10T</t>
  </si>
  <si>
    <t>jiyi-047</t>
  </si>
  <si>
    <t>樓承鋼板（76*1.5mm）</t>
  </si>
  <si>
    <t>一般（含鋅量120g）</t>
  </si>
  <si>
    <t>jiyi-048</t>
  </si>
  <si>
    <t>樓承鋼板（76*1.2mm）</t>
  </si>
  <si>
    <t>jiyi-049</t>
  </si>
  <si>
    <t>柱樑剪力釘（M19*76L）</t>
  </si>
  <si>
    <t>jiyi-050</t>
  </si>
  <si>
    <t>螺栓接合處補漆</t>
  </si>
  <si>
    <t>jiyi-051</t>
  </si>
  <si>
    <t>安全防護</t>
  </si>
  <si>
    <t>jiyi-052</t>
  </si>
  <si>
    <t>樑柱【一小時防火漆】及面漆</t>
  </si>
  <si>
    <t>jiyi-053</t>
  </si>
  <si>
    <t>焊口</t>
  </si>
  <si>
    <t>口</t>
  </si>
  <si>
    <t>jiyi-054</t>
  </si>
  <si>
    <t>發電機費用</t>
  </si>
  <si>
    <t>jiyi-055</t>
  </si>
  <si>
    <t>DECK版鋪設點焊鋼絲網8$*8$/150*150</t>
  </si>
  <si>
    <t>jiyi-056</t>
  </si>
  <si>
    <t>20cm擋泥板及封口板收邊</t>
  </si>
  <si>
    <t>jiyi-057</t>
  </si>
  <si>
    <t>15cm擋泥板及封口板收邊</t>
  </si>
  <si>
    <t>jiyi-058</t>
  </si>
  <si>
    <t>無收縮水泥</t>
  </si>
  <si>
    <t>柱</t>
  </si>
  <si>
    <t>jiyi-059</t>
  </si>
  <si>
    <t>樑柱箍筋現場焊接</t>
  </si>
  <si>
    <t>jiyi-060</t>
  </si>
  <si>
    <t>鋼梯扶手</t>
  </si>
  <si>
    <t>jiyi-061</t>
  </si>
  <si>
    <t>防水，屋面工程</t>
  </si>
  <si>
    <t>廁所地坪＋牆面台度H=1.2M彈泥防水層</t>
  </si>
  <si>
    <t>依施工詳圖</t>
  </si>
  <si>
    <t>jiyi-062</t>
  </si>
  <si>
    <t>陽台地坪+牆面30cm彈泥防水施工</t>
  </si>
  <si>
    <t>jiyi-063</t>
  </si>
  <si>
    <t>外牆全棟彈泥防水</t>
  </si>
  <si>
    <t>jiyi-064</t>
  </si>
  <si>
    <t>窗框防水層</t>
  </si>
  <si>
    <t>原單數量×單價=404,400，原複價337,000，相差-67,400；保留原值。</t>
  </si>
  <si>
    <t>jiyi-065</t>
  </si>
  <si>
    <t>樓層接縫防水層</t>
  </si>
  <si>
    <t>原單數量×單價=402,300，原複價335,250，相差-67,050；保留原值。</t>
  </si>
  <si>
    <t>jiyi-066</t>
  </si>
  <si>
    <t>屋頂平台防水工程</t>
  </si>
  <si>
    <t>jiyi-067</t>
  </si>
  <si>
    <t>電梯基坑1：2防水粉刷</t>
  </si>
  <si>
    <t>jiyi-068</t>
  </si>
  <si>
    <t>消防水池1:2防水粉刷</t>
  </si>
  <si>
    <t>jiyi-069</t>
  </si>
  <si>
    <t>室內地坪工程</t>
  </si>
  <si>
    <t>一樓大廳地坪貼花崗石</t>
  </si>
  <si>
    <t>jiyi-070</t>
  </si>
  <si>
    <t>客梯梯廳地坪貼60*120地磚</t>
  </si>
  <si>
    <t>jiyi-071</t>
  </si>
  <si>
    <t>外廊地坪貼30*60石英地磚</t>
  </si>
  <si>
    <t>jiyi-072</t>
  </si>
  <si>
    <t>辦公室地坪貼60*60拋光石英磚</t>
  </si>
  <si>
    <t>jiyi-073</t>
  </si>
  <si>
    <t>廠房地坪EPOXY</t>
  </si>
  <si>
    <t>jiyi-074</t>
  </si>
  <si>
    <t>廁所地坪貼30CM*30CM地磚</t>
  </si>
  <si>
    <t>jiyi-075</t>
  </si>
  <si>
    <t>甲乙梯貼樓梯磚</t>
  </si>
  <si>
    <t>jiyi-076</t>
  </si>
  <si>
    <t>樓梯間地坪貼20*20地磚</t>
  </si>
  <si>
    <t>jiyi-077</t>
  </si>
  <si>
    <t>陽台地坪貼20*20地磚</t>
  </si>
  <si>
    <t>jiyi-078</t>
  </si>
  <si>
    <t>設備機房地坪貼30*30地磚</t>
  </si>
  <si>
    <t>jiyi-079</t>
  </si>
  <si>
    <t>1:2水泥砂漿粉刷＋鋪止滑石英磚（30x30cm）</t>
  </si>
  <si>
    <t>jiyi-080</t>
  </si>
  <si>
    <t>屋頂平台地坪貼隔熱地磚</t>
  </si>
  <si>
    <t>jiyi-081</t>
  </si>
  <si>
    <t>夾層參觀平台及會客室地坪</t>
  </si>
  <si>
    <t>jiyi-082</t>
  </si>
  <si>
    <t>門廳前弧形階梯貼燒面花崗石</t>
  </si>
  <si>
    <t>jiyi-083</t>
  </si>
  <si>
    <t>室內牆面工程</t>
  </si>
  <si>
    <t>輕隔問牆T=10CM</t>
  </si>
  <si>
    <t>jiyi-084</t>
  </si>
  <si>
    <t>輕隔間批土刷水泥漆</t>
  </si>
  <si>
    <t>jiyi-085</t>
  </si>
  <si>
    <t>RC牆1:3水泥砂漿粉刷刷水泥漆</t>
  </si>
  <si>
    <t>jiyi-086</t>
  </si>
  <si>
    <t>一樓大廳牆面貼60CM*120CM壁磚</t>
  </si>
  <si>
    <t>jiyi-087</t>
  </si>
  <si>
    <t>廁所牆面貼30CM*60CM壁磚</t>
  </si>
  <si>
    <t>jiyi-088</t>
  </si>
  <si>
    <t>室內平頂工程</t>
  </si>
  <si>
    <t>1:3水泥砂漿粉刷＋水泥漆（批土+一底二度）</t>
  </si>
  <si>
    <t>jiyi-089</t>
  </si>
  <si>
    <t>明架礦纖天花板（60*60CM）</t>
  </si>
  <si>
    <t>jiyi-090</t>
  </si>
  <si>
    <t>暗架矽酸鈣板＋塗乳膠漆（批土+一底二度）</t>
  </si>
  <si>
    <t>jiyi-091</t>
  </si>
  <si>
    <t>依外牆材質（深色二丁掛磚）</t>
  </si>
  <si>
    <t>jiyi-092</t>
  </si>
  <si>
    <t>外牆貼二丁掛磚</t>
  </si>
  <si>
    <t>jiyi-093</t>
  </si>
  <si>
    <t>外牆金屬包版（鋁本色）</t>
  </si>
  <si>
    <t>jiyi-094</t>
  </si>
  <si>
    <t>外牆金屬沖孔版</t>
  </si>
  <si>
    <t>jiyi-095</t>
  </si>
  <si>
    <t>外牆波紋版</t>
  </si>
  <si>
    <t>jiyi-096</t>
  </si>
  <si>
    <t>外牆仿清水模塗料</t>
  </si>
  <si>
    <t>jiyi-097</t>
  </si>
  <si>
    <t>外牆淺色塗料</t>
  </si>
  <si>
    <t>jiyi-098</t>
  </si>
  <si>
    <t>外牆1:2防水粉刷漆油性油漆</t>
  </si>
  <si>
    <t>jiyi-099</t>
  </si>
  <si>
    <t>欄杆工程H=1.1M</t>
  </si>
  <si>
    <t>jiyi-100</t>
  </si>
  <si>
    <t>玻璃欄杆工程H=95CM</t>
  </si>
  <si>
    <t>jiyi-101</t>
  </si>
  <si>
    <t>外牆瓏昇LOGO</t>
  </si>
  <si>
    <t>jiyi-102</t>
  </si>
  <si>
    <t>D1 南亞慶祥SMC門（80*220）</t>
  </si>
  <si>
    <t>jiyi-103</t>
  </si>
  <si>
    <t>D2 南亞慶祥SMC門（90*210）</t>
  </si>
  <si>
    <t>jiyi-104</t>
  </si>
  <si>
    <t>D3 木門（120*210）</t>
  </si>
  <si>
    <t>jiyi-105</t>
  </si>
  <si>
    <t>D3a 防火門（100*220）（60B+遮煙）</t>
  </si>
  <si>
    <t>jiyi-106</t>
  </si>
  <si>
    <t>D4 防火門（100*210）（遮煙）</t>
  </si>
  <si>
    <t>jiyi-107</t>
  </si>
  <si>
    <t>D5木門（90*220）</t>
  </si>
  <si>
    <t>jiyi-108</t>
  </si>
  <si>
    <t>D6 木門（100*220）</t>
  </si>
  <si>
    <t>jiyi-109</t>
  </si>
  <si>
    <t>D7 三合一通風門（95*220）</t>
  </si>
  <si>
    <t>jiyi-110</t>
  </si>
  <si>
    <t>D8 防火門（140*240）（遮煙）</t>
  </si>
  <si>
    <t>jiyi-111</t>
  </si>
  <si>
    <t>D9木門（150*240）</t>
  </si>
  <si>
    <t>jiyi-112</t>
  </si>
  <si>
    <t>D9a 防火門（150*240）（60B+遮煙）</t>
  </si>
  <si>
    <t>jiyi-113</t>
  </si>
  <si>
    <t>D10 木門（180*240）</t>
  </si>
  <si>
    <t>jiyi-114</t>
  </si>
  <si>
    <t>D11 通風百葉雙開門（290*330）</t>
  </si>
  <si>
    <t>jiyi-115</t>
  </si>
  <si>
    <t>D12 固定窗拉門（160*240）</t>
  </si>
  <si>
    <t>jiyi-116</t>
  </si>
  <si>
    <t>D13 南亞慶祥SMC門（100*210）</t>
  </si>
  <si>
    <t>jiyi-117</t>
  </si>
  <si>
    <t>D14 固定窗鋁製拉門（90*220）</t>
  </si>
  <si>
    <t>jiyi-118</t>
  </si>
  <si>
    <t>FD1 防火門（120*220）（60A+遮煙）</t>
  </si>
  <si>
    <t>jiyi-119</t>
  </si>
  <si>
    <t>FD2 烤漆鋼板防火門（100*220）（60B）</t>
  </si>
  <si>
    <t>jiyi-120</t>
  </si>
  <si>
    <t>FD3烤漆鋼板防火門（180*240）（60A）</t>
  </si>
  <si>
    <t>jiyi-121</t>
  </si>
  <si>
    <t>FD4 烤漆鋼板防火門（100*220）（60A）</t>
  </si>
  <si>
    <t>jiyi-122</t>
  </si>
  <si>
    <t>FD5 烤漆鋼板防火門（205*240）（60B）</t>
  </si>
  <si>
    <t>jiyi-123</t>
  </si>
  <si>
    <t>SD1 快速捲門（520*360）</t>
  </si>
  <si>
    <t>jiyi-124</t>
  </si>
  <si>
    <t>SD2 快速捲門（520*400）</t>
  </si>
  <si>
    <t>jiyi-125</t>
  </si>
  <si>
    <t>SFD1 防火捲門（200*380）（60A）</t>
  </si>
  <si>
    <t>jiyi-126</t>
  </si>
  <si>
    <t>SFD2 防火捲門（450*380）（60A）</t>
  </si>
  <si>
    <t>jiyi-127</t>
  </si>
  <si>
    <t>SFD3 防火捲門（455*380）（60A）</t>
  </si>
  <si>
    <t>jiyi-128</t>
  </si>
  <si>
    <t>W1 氣密鋁門窗（70*140）</t>
  </si>
  <si>
    <t>國田</t>
  </si>
  <si>
    <t>jiyi-129</t>
  </si>
  <si>
    <t>W2 氣密鋁門窗（120*330）</t>
  </si>
  <si>
    <t>jiyi-130</t>
  </si>
  <si>
    <t>W3 氣密鋁門窗（215*210）</t>
  </si>
  <si>
    <t>jiyi-131</t>
  </si>
  <si>
    <t>W4 氣密鋁門窗（425*210）</t>
  </si>
  <si>
    <t>jiyi-132</t>
  </si>
  <si>
    <t>W5 氣密鋁門窗（320*210）</t>
  </si>
  <si>
    <t>jiyi-133</t>
  </si>
  <si>
    <t>W6 氣密鋁門窗（200*60）</t>
  </si>
  <si>
    <t>jiyi-134</t>
  </si>
  <si>
    <t>W7氣密鋁門窗（350*80）</t>
  </si>
  <si>
    <t>jiyi-135</t>
  </si>
  <si>
    <t>W9 氣密鋁門窗（180*70）</t>
  </si>
  <si>
    <t>jiyi-136</t>
  </si>
  <si>
    <t>W10 氣密鋁門窗（210*330）</t>
  </si>
  <si>
    <t>jiyi-137</t>
  </si>
  <si>
    <t>W10 氣密鋁門窗（510*330）</t>
  </si>
  <si>
    <t>jiyi-138</t>
  </si>
  <si>
    <t>W10 氣密鋁門窗（810*330）</t>
  </si>
  <si>
    <t>jiyi-139</t>
  </si>
  <si>
    <t>W11 氣密鋁門窗（265*310）</t>
  </si>
  <si>
    <t>jiyi-140</t>
  </si>
  <si>
    <t>W12 氣密鋁門窗（610*245）</t>
  </si>
  <si>
    <t>jiyi-141</t>
  </si>
  <si>
    <t>W13 氣密鋁門窗（150*1050）</t>
  </si>
  <si>
    <t>jiyi-142</t>
  </si>
  <si>
    <t>W13 氣密鋁門窗（250*1050）</t>
  </si>
  <si>
    <t>jiyi-143</t>
  </si>
  <si>
    <t>W13 氣密鋁門窗（430*1050）</t>
  </si>
  <si>
    <t>jiyi-144</t>
  </si>
  <si>
    <t>BW1防火百葉窗（120*120）</t>
  </si>
  <si>
    <t>jiyi-145</t>
  </si>
  <si>
    <t>BW2氣密鋁門窗（810*70）</t>
  </si>
  <si>
    <t>jiyi-146</t>
  </si>
  <si>
    <t>BW5氣密鋁門窗（810*70）</t>
  </si>
  <si>
    <t>jiyi-147</t>
  </si>
  <si>
    <t>玻璃工程</t>
  </si>
  <si>
    <t>8MM強化玻璃</t>
  </si>
  <si>
    <t>jiyi-148</t>
  </si>
  <si>
    <t>崁縫工程</t>
  </si>
  <si>
    <t>鐵捲門水泥砂漿嵌縫</t>
  </si>
  <si>
    <t>jiyi-149</t>
  </si>
  <si>
    <t>防火門，金屬門水泥砂漿嵌縫</t>
  </si>
  <si>
    <t>jiyi-150</t>
  </si>
  <si>
    <t>木門水泥砂漿嵌縫 1-</t>
  </si>
  <si>
    <t>jiyi-151</t>
  </si>
  <si>
    <t>塑鋼門水泥砂漿嵌縫</t>
  </si>
  <si>
    <t>jiyi-152</t>
  </si>
  <si>
    <t>鋁窗水泥砂漿嵌縫</t>
  </si>
  <si>
    <t>jiyi-153</t>
  </si>
  <si>
    <t>電梯開口水泥砂漿嵌縫</t>
  </si>
  <si>
    <t>jiyi-154</t>
  </si>
  <si>
    <t>Silicone工程</t>
  </si>
  <si>
    <t>防火門.金屬門內外填矽利康</t>
  </si>
  <si>
    <t>jiyi-155</t>
  </si>
  <si>
    <t>木門內外填矽利康</t>
  </si>
  <si>
    <t>jiyi-156</t>
  </si>
  <si>
    <t>塑鋼門內外填矽利康</t>
  </si>
  <si>
    <t>jiyi-157</t>
  </si>
  <si>
    <t>鋁門窗填矽利康</t>
  </si>
  <si>
    <t>jiyi-158</t>
  </si>
  <si>
    <t>設備工程</t>
  </si>
  <si>
    <t>12人份客用電梯（兼無障礙電梯）</t>
  </si>
  <si>
    <t>小金井</t>
  </si>
  <si>
    <t>jiyi-159</t>
  </si>
  <si>
    <t>2500KG機房貨梯</t>
  </si>
  <si>
    <t>jiyi-160</t>
  </si>
  <si>
    <t>10人份生活污水處理設施</t>
  </si>
  <si>
    <t>jiyi-161</t>
  </si>
  <si>
    <t>防火遮煙捲簾</t>
  </si>
  <si>
    <t>jiyi-162</t>
  </si>
  <si>
    <t>廁所導擺隔間＋門扇（15樘）</t>
  </si>
  <si>
    <t>jiyi-163</t>
  </si>
  <si>
    <t>jiyi-164</t>
  </si>
  <si>
    <t>人造石門檻（80CM</t>
  </si>
  <si>
    <t>jiyi-165</t>
  </si>
  <si>
    <t>人造石門檻（95CMO）</t>
  </si>
  <si>
    <t>jiyi-166</t>
  </si>
  <si>
    <t>人造石門檻（140CM）</t>
  </si>
  <si>
    <t>jiyi-167</t>
  </si>
  <si>
    <t>人造石門檻（150CM）</t>
  </si>
  <si>
    <t>jiyi-168</t>
  </si>
  <si>
    <t>人造石門檻（180CM）</t>
  </si>
  <si>
    <t>jiyi-169</t>
  </si>
  <si>
    <t>人造石門檻（205CM）</t>
  </si>
  <si>
    <t>jiyi-170</t>
  </si>
  <si>
    <t>樓梯扶手（立柱式）H=80CM</t>
  </si>
  <si>
    <t>jiyi-171</t>
  </si>
  <si>
    <t>樓梯扶手（扶壁式）</t>
  </si>
  <si>
    <t>jiyi-172</t>
  </si>
  <si>
    <t>無障礙樓梯磚 L120米W30CM</t>
  </si>
  <si>
    <t>塊</t>
  </si>
  <si>
    <t>jiyi-173</t>
  </si>
  <si>
    <t>無障礙電梯磚160*30CM</t>
  </si>
  <si>
    <t>jiyi-174</t>
  </si>
  <si>
    <t>停車位劃線 250*600</t>
  </si>
  <si>
    <t>輛</t>
  </si>
  <si>
    <t>jiyi-175</t>
  </si>
  <si>
    <t>裝卸位停車位劃線 400*1300</t>
  </si>
  <si>
    <t>jiyi-176</t>
  </si>
  <si>
    <t>無障礙停車位劃線 350*600</t>
  </si>
  <si>
    <t>jiyi-177</t>
  </si>
  <si>
    <t>無障礙停車位立牌標誌</t>
  </si>
  <si>
    <t>jiyi-178</t>
  </si>
  <si>
    <t>無障礙設施引導標誌</t>
  </si>
  <si>
    <t>jiyi-179</t>
  </si>
  <si>
    <t>LOGO矮牆工程H=150CM</t>
  </si>
  <si>
    <t>jiyi-180</t>
  </si>
  <si>
    <t>夾層參觀平台玻璃欄杆</t>
  </si>
  <si>
    <t>jiyi-181</t>
  </si>
  <si>
    <t>大廳前不銹鋼雨遮</t>
  </si>
  <si>
    <t>jiyi-182</t>
  </si>
  <si>
    <t>60*60CM鍍鋅隔栅人孔蓋板</t>
  </si>
  <si>
    <t>jiyi-183</t>
  </si>
  <si>
    <t>基地排水溝工程</t>
  </si>
  <si>
    <t>jiyi-184</t>
  </si>
  <si>
    <t>綠化植栽工程</t>
  </si>
  <si>
    <t>綠化面積（百慕達草）</t>
  </si>
  <si>
    <t>jiyi-185</t>
  </si>
  <si>
    <t>綠化面積（植草磚）</t>
  </si>
  <si>
    <t>jiyi-186</t>
  </si>
  <si>
    <t>戶外地坪瀝青鋪設</t>
  </si>
  <si>
    <t>jiyi-fee1</t>
  </si>
  <si>
    <t>勞工安全衛生管理費（0.8%）</t>
  </si>
  <si>
    <t>jiyi-fee2</t>
  </si>
  <si>
    <t>工程營造保險費（0.5%）</t>
  </si>
  <si>
    <t>jiyi-fee3</t>
  </si>
  <si>
    <t>管理費及利潤（8%）</t>
  </si>
  <si>
    <t>jiyi-fee4</t>
  </si>
  <si>
    <t>加值營業稅（5%）</t>
  </si>
  <si>
    <t>jiyi-fee5</t>
  </si>
  <si>
    <t>空氣污染防治費</t>
  </si>
  <si>
    <t>原總表與來源資料</t>
  </si>
  <si>
    <t>原空污費</t>
  </si>
  <si>
    <t>工程小計</t>
  </si>
  <si>
    <t>費用／稅列項加總</t>
  </si>
  <si>
    <t>逐筆明細加總</t>
  </si>
  <si>
    <t>明細減總額</t>
  </si>
  <si>
    <t>來源PDF</t>
  </si>
  <si>
    <t>日期與面積註記</t>
  </si>
  <si>
    <t>115.09.30-大展營造-工程估價書.pdf</t>
  </si>
  <si>
    <t>PDF首頁115/09/30；首頁列建築面積1189.5坪 1189.5坪。不同面積口徑，不做每坪排名。</t>
  </si>
  <si>
    <t>立東營造115-12.瓏昇廠房新建廠房案-估價單(加入使用品牌)_115.10.01.pdf</t>
  </si>
  <si>
    <t>日期依檔名115.10.01；PDF內未見日期；假設工程清潔計價面積，非確認的總樓地板面積 1244.5坪。不同面積口徑，不做每坪排名。</t>
  </si>
  <si>
    <t>115.04.01-基益營造-工程估價單.pdf</t>
  </si>
  <si>
    <t>PDF日期2026/4/1；假設工程清潔計價面積，非確認的總樓地板面積 1182.89坪。不同面積口徑，不做每坪排名。</t>
  </si>
  <si>
    <t>原金額</t>
  </si>
  <si>
    <t>註記</t>
  </si>
  <si>
    <t>總表原值；不得與逐筆明細再重複加總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</si>
</sst>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;[Red]\(#,##0.00\);&quot;–&quot;"/>
    <numFmt numFmtId="177" formatCode="#,##0;[Red]\(#,##0\);&quot;–&quot;"/>
    <numFmt numFmtId="178" formatCode="0.0%;[Red]\(0.0%\);&quot;–&quot;"/>
    <numFmt numFmtId="179" formatCode="0.0%"/>
  </numFmts>
  <fonts count="8">
    <font>
      <sz val="11"/>
      <name val="Carlito"/>
    </font>
    <font>
      <b/>
      <sz val="16"/>
      <color rgb="FF17324D"/>
      <name val="Arial"/>
      <family val="2"/>
    </font>
    <font>
      <b/>
      <sz val="11"/>
      <color rgb="FFFFFFFF"/>
      <name val="Arial"/>
      <family val="2"/>
    </font>
    <font>
      <sz val="11"/>
      <color rgb="FF263749"/>
      <name val="Arial"/>
      <family val="2"/>
    </font>
    <font>
      <sz val="11"/>
      <color rgb="FF1D5C99"/>
      <name val="Arial"/>
      <family val="2"/>
    </font>
    <font>
      <sz val="11"/>
      <color rgb="FF58677B"/>
      <name val="Arial"/>
      <family val="2"/>
    </font>
    <font>
      <sz val="11"/>
      <name val="Carlito"/>
    </font>
    <font>
      <sz val="9"/>
      <name val="Wawati TC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2F5F8"/>
      </patternFill>
    </fill>
    <fill>
      <patternFill patternType="solid">
        <fgColor rgb="FFFFF1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1" fillId="0" borderId="0" xfId="1" applyFont="1"/>
    <xf numFmtId="0" fontId="2" fillId="2" borderId="0" xfId="1" applyFont="1" applyFill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3" borderId="0" xfId="1" applyFont="1" applyFill="1" applyAlignment="1">
      <alignment vertical="center" wrapText="1"/>
    </xf>
    <xf numFmtId="0" fontId="3" fillId="4" borderId="0" xfId="1" applyFont="1" applyFill="1" applyAlignment="1">
      <alignment vertical="center" wrapText="1"/>
    </xf>
    <xf numFmtId="176" fontId="3" fillId="0" borderId="0" xfId="1" applyNumberFormat="1" applyFont="1" applyAlignment="1">
      <alignment vertical="center" wrapText="1"/>
    </xf>
    <xf numFmtId="176" fontId="3" fillId="3" borderId="0" xfId="1" applyNumberFormat="1" applyFont="1" applyFill="1" applyAlignment="1">
      <alignment vertical="center" wrapText="1"/>
    </xf>
    <xf numFmtId="177" fontId="3" fillId="0" borderId="0" xfId="1" applyNumberFormat="1" applyFont="1" applyAlignment="1">
      <alignment vertical="center" wrapText="1"/>
    </xf>
    <xf numFmtId="177" fontId="3" fillId="3" borderId="0" xfId="1" applyNumberFormat="1" applyFont="1" applyFill="1" applyAlignment="1">
      <alignment vertical="center" wrapText="1"/>
    </xf>
    <xf numFmtId="176" fontId="4" fillId="0" borderId="0" xfId="1" applyNumberFormat="1" applyFont="1" applyAlignment="1">
      <alignment vertical="center" wrapText="1"/>
    </xf>
    <xf numFmtId="177" fontId="4" fillId="0" borderId="0" xfId="1" applyNumberFormat="1" applyFont="1" applyAlignment="1">
      <alignment vertical="center" wrapText="1"/>
    </xf>
    <xf numFmtId="176" fontId="4" fillId="3" borderId="0" xfId="1" applyNumberFormat="1" applyFont="1" applyFill="1" applyAlignment="1">
      <alignment vertical="center" wrapText="1"/>
    </xf>
    <xf numFmtId="177" fontId="4" fillId="3" borderId="0" xfId="1" applyNumberFormat="1" applyFont="1" applyFill="1" applyAlignment="1">
      <alignment vertical="center" wrapText="1"/>
    </xf>
    <xf numFmtId="0" fontId="5" fillId="0" borderId="0" xfId="1" applyFont="1"/>
    <xf numFmtId="177" fontId="0" fillId="0" borderId="0" xfId="1" applyNumberFormat="1" applyFont="1"/>
    <xf numFmtId="178" fontId="3" fillId="3" borderId="0" xfId="1" applyNumberFormat="1" applyFont="1" applyFill="1" applyAlignment="1">
      <alignment vertical="center" wrapText="1"/>
    </xf>
    <xf numFmtId="177" fontId="3" fillId="4" borderId="0" xfId="1" applyNumberFormat="1" applyFont="1" applyFill="1" applyAlignment="1">
      <alignment vertical="center" wrapText="1"/>
    </xf>
    <xf numFmtId="0" fontId="0" fillId="0" borderId="0" xfId="1" applyFont="1" applyAlignment="1">
      <alignment wrapText="1"/>
    </xf>
    <xf numFmtId="179" fontId="3" fillId="0" borderId="0" xfId="1" applyNumberFormat="1" applyFont="1" applyAlignment="1">
      <alignment vertical="center" wrapText="1"/>
    </xf>
    <xf numFmtId="179" fontId="3" fillId="3" borderId="0" xfId="1" applyNumberFormat="1" applyFont="1" applyFill="1" applyAlignment="1">
      <alignment vertical="center" wrapText="1"/>
    </xf>
  </cellXfs>
  <cellStyles count="2">
    <cellStyle name="Normal" xfId="1" xr:uid="{00000000-0005-0000-0000-000000000000}"/>
    <cellStyle name="一般" xfId="0" builtinId="0"/>
  </cellStyles>
  <dxfs count="4">
    <dxf>
      <font>
        <b/>
        <color rgb="FF9C421A"/>
      </font>
      <fill>
        <patternFill patternType="solid">
          <bgColor rgb="FFFFF0D9"/>
        </patternFill>
      </fill>
    </dxf>
    <dxf>
      <font>
        <b/>
        <color rgb="FF9C421A"/>
      </font>
      <fill>
        <patternFill patternType="solid">
          <bgColor rgb="FFFFF0D9"/>
        </patternFill>
      </fill>
    </dxf>
    <dxf>
      <font>
        <b/>
        <color rgb="FF9C421A"/>
      </font>
      <fill>
        <patternFill patternType="solid">
          <bgColor rgb="FFFFF0D9"/>
        </patternFill>
      </fill>
    </dxf>
    <dxf>
      <font>
        <b/>
        <color rgb="FF9C421A"/>
      </font>
      <fill>
        <patternFill patternType="solid">
          <bgColor rgb="FFFF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>
                <a:latin typeface="Arial"/>
                <a:ea typeface="Arial"/>
                <a:cs typeface="Arial"/>
              </a:rPr>
              <a:t>原報價總額（新臺幣元）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原報價總額</c:v>
          </c:tx>
          <c:invertIfNegative val="1"/>
          <c:cat>
            <c:strRef>
              <c:f>綜合總覽!$G$23:$G$25</c:f>
              <c:strCache>
                <c:ptCount val="3"/>
                <c:pt idx="0">
                  <c:v>大展營造</c:v>
                </c:pt>
                <c:pt idx="1">
                  <c:v>立東營造</c:v>
                </c:pt>
                <c:pt idx="2">
                  <c:v>基益營造</c:v>
                </c:pt>
              </c:strCache>
            </c:strRef>
          </c:cat>
          <c:val>
            <c:numRef>
              <c:f>綜合總覽!$H$23:$H$25</c:f>
              <c:numCache>
                <c:formatCode>#,##0;[Red]\(#,##0\);"–"</c:formatCode>
                <c:ptCount val="3"/>
                <c:pt idx="0">
                  <c:v>141502803</c:v>
                </c:pt>
                <c:pt idx="1">
                  <c:v>143400000</c:v>
                </c:pt>
                <c:pt idx="2">
                  <c:v>210047839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6-1045-BAB1-49EAA60F7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,,&quot;百萬&quot;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>
                <a:latin typeface="Arial"/>
                <a:ea typeface="Arial"/>
                <a:cs typeface="Arial"/>
              </a:rPr>
              <a:t>工程分類金額（新臺幣元）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大展營造</c:v>
          </c:tx>
          <c:spPr>
            <a:solidFill>
              <a:srgbClr val="236A96"/>
            </a:solidFill>
          </c:spPr>
          <c:invertIfNegative val="1"/>
          <c:cat>
            <c:strRef>
              <c:f>分類比較!$A$6:$A$11</c:f>
              <c:strCache>
                <c:ptCount val="6"/>
                <c:pt idx="0">
                  <c:v>假設工程</c:v>
                </c:pt>
                <c:pt idx="1">
                  <c:v>土方及結構工程</c:v>
                </c:pt>
                <c:pt idx="2">
                  <c:v>鋼構工程</c:v>
                </c:pt>
                <c:pt idx="3">
                  <c:v>內外裝修及防水</c:v>
                </c:pt>
                <c:pt idx="4">
                  <c:v>門窗工程</c:v>
                </c:pt>
                <c:pt idx="5">
                  <c:v>設備、雜項及室外</c:v>
                </c:pt>
              </c:strCache>
            </c:strRef>
          </c:cat>
          <c:val>
            <c:numRef>
              <c:f>分類比較!$B$6:$B$11</c:f>
              <c:numCache>
                <c:formatCode>#,##0;[Red]\(#,##0\);"–"</c:formatCode>
                <c:ptCount val="6"/>
                <c:pt idx="0">
                  <c:v>3604928</c:v>
                </c:pt>
                <c:pt idx="1">
                  <c:v>39793568</c:v>
                </c:pt>
                <c:pt idx="2">
                  <c:v>31302484</c:v>
                </c:pt>
                <c:pt idx="3">
                  <c:v>32195141</c:v>
                </c:pt>
                <c:pt idx="4">
                  <c:v>7140806</c:v>
                </c:pt>
                <c:pt idx="5">
                  <c:v>3810721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F93-F148-8701-59F70F4357CE}"/>
            </c:ext>
          </c:extLst>
        </c:ser>
        <c:ser>
          <c:idx val="1"/>
          <c:order val="1"/>
          <c:tx>
            <c:v>立東營造</c:v>
          </c:tx>
          <c:spPr>
            <a:solidFill>
              <a:srgbClr val="B6762C"/>
            </a:solidFill>
          </c:spPr>
          <c:invertIfNegative val="1"/>
          <c:cat>
            <c:strRef>
              <c:f>分類比較!$A$6:$A$11</c:f>
              <c:strCache>
                <c:ptCount val="6"/>
                <c:pt idx="0">
                  <c:v>假設工程</c:v>
                </c:pt>
                <c:pt idx="1">
                  <c:v>土方及結構工程</c:v>
                </c:pt>
                <c:pt idx="2">
                  <c:v>鋼構工程</c:v>
                </c:pt>
                <c:pt idx="3">
                  <c:v>內外裝修及防水</c:v>
                </c:pt>
                <c:pt idx="4">
                  <c:v>門窗工程</c:v>
                </c:pt>
                <c:pt idx="5">
                  <c:v>設備、雜項及室外</c:v>
                </c:pt>
              </c:strCache>
            </c:strRef>
          </c:cat>
          <c:val>
            <c:numRef>
              <c:f>分類比較!$C$6:$C$11</c:f>
              <c:numCache>
                <c:formatCode>#,##0;[Red]\(#,##0\);"–"</c:formatCode>
                <c:ptCount val="6"/>
                <c:pt idx="0">
                  <c:v>3799609</c:v>
                </c:pt>
                <c:pt idx="1">
                  <c:v>37387686</c:v>
                </c:pt>
                <c:pt idx="2">
                  <c:v>35684599</c:v>
                </c:pt>
                <c:pt idx="3">
                  <c:v>29804181</c:v>
                </c:pt>
                <c:pt idx="4">
                  <c:v>9523700</c:v>
                </c:pt>
                <c:pt idx="5">
                  <c:v>5789532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8F93-F148-8701-59F70F4357CE}"/>
            </c:ext>
          </c:extLst>
        </c:ser>
        <c:ser>
          <c:idx val="2"/>
          <c:order val="2"/>
          <c:tx>
            <c:v>基益營造</c:v>
          </c:tx>
          <c:spPr>
            <a:solidFill>
              <a:srgbClr val="8163A7"/>
            </a:solidFill>
          </c:spPr>
          <c:invertIfNegative val="1"/>
          <c:cat>
            <c:strRef>
              <c:f>分類比較!$A$6:$A$11</c:f>
              <c:strCache>
                <c:ptCount val="6"/>
                <c:pt idx="0">
                  <c:v>假設工程</c:v>
                </c:pt>
                <c:pt idx="1">
                  <c:v>土方及結構工程</c:v>
                </c:pt>
                <c:pt idx="2">
                  <c:v>鋼構工程</c:v>
                </c:pt>
                <c:pt idx="3">
                  <c:v>內外裝修及防水</c:v>
                </c:pt>
                <c:pt idx="4">
                  <c:v>門窗工程</c:v>
                </c:pt>
                <c:pt idx="5">
                  <c:v>設備、雜項及室外</c:v>
                </c:pt>
              </c:strCache>
            </c:strRef>
          </c:cat>
          <c:val>
            <c:numRef>
              <c:f>分類比較!$D$6:$D$11</c:f>
              <c:numCache>
                <c:formatCode>#,##0;[Red]\(#,##0\);"–"</c:formatCode>
                <c:ptCount val="6"/>
                <c:pt idx="0">
                  <c:v>6917256</c:v>
                </c:pt>
                <c:pt idx="1">
                  <c:v>63168038</c:v>
                </c:pt>
                <c:pt idx="2">
                  <c:v>41869118</c:v>
                </c:pt>
                <c:pt idx="3">
                  <c:v>54161082</c:v>
                </c:pt>
                <c:pt idx="4">
                  <c:v>7371886</c:v>
                </c:pt>
                <c:pt idx="5">
                  <c:v>9480285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8F93-F148-8701-59F70F435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,,&quot;百萬&quot;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UnitComparison" displayName="UnitComparison" ref="A5:N35" totalsRowShown="0">
  <autoFilter ref="A5:N35" xr:uid="{00000000-000C-0000-FFFF-FFFF00000000}"/>
  <tableColumns count="14">
    <tableColumn id="1" xr3:uid="{00000000-0010-0000-0000-000001000000}" name="對照項目"/>
    <tableColumn id="2" xr3:uid="{00000000-0010-0000-0000-000002000000}" name="單位"/>
    <tableColumn id="3" xr3:uid="{00000000-0010-0000-0000-000003000000}" name="大展數量"/>
    <tableColumn id="4" xr3:uid="{00000000-0010-0000-0000-000004000000}" name="大展單價"/>
    <tableColumn id="5" xr3:uid="{00000000-0010-0000-0000-000005000000}" name="大展原複價"/>
    <tableColumn id="6" xr3:uid="{00000000-0010-0000-0000-000006000000}" name="立東數量"/>
    <tableColumn id="7" xr3:uid="{00000000-0010-0000-0000-000007000000}" name="立東單價"/>
    <tableColumn id="8" xr3:uid="{00000000-0010-0000-0000-000008000000}" name="立東原複價"/>
    <tableColumn id="9" xr3:uid="{00000000-0010-0000-0000-000009000000}" name="基益數量"/>
    <tableColumn id="10" xr3:uid="{00000000-0010-0000-0000-00000A000000}" name="基益單價"/>
    <tableColumn id="11" xr3:uid="{00000000-0010-0000-0000-00000B000000}" name="基益原複價"/>
    <tableColumn id="12" xr3:uid="{00000000-0010-0000-0000-00000C000000}" name="單價高低差率"/>
    <tableColumn id="13" xr3:uid="{00000000-0010-0000-0000-00000D000000}" name="比較限制"/>
    <tableColumn id="14" xr3:uid="{00000000-0010-0000-0000-00000E000000}" name="來源明細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cope" displayName="Scope" ref="A5:F23" totalsRowShown="0">
  <tableColumns count="6">
    <tableColumn id="1" xr3:uid="{00000000-0010-0000-0100-000001000000}" name="比較主題"/>
    <tableColumn id="2" xr3:uid="{00000000-0010-0000-0100-000002000000}" name="大展營造"/>
    <tableColumn id="3" xr3:uid="{00000000-0010-0000-0100-000003000000}" name="立東營造"/>
    <tableColumn id="4" xr3:uid="{00000000-0010-0000-0100-000004000000}" name="基益營造"/>
    <tableColumn id="5" xr3:uid="{00000000-0010-0000-0100-000005000000}" name="應確認事項"/>
    <tableColumn id="6" xr3:uid="{00000000-0010-0000-0100-000006000000}" name="PDF依據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Issues" displayName="Issues" ref="A5:F15" totalsRowShown="0">
  <tableColumns count="6">
    <tableColumn id="1" xr3:uid="{00000000-0010-0000-0200-000001000000}" name="廠商"/>
    <tableColumn id="2" xr3:uid="{00000000-0010-0000-0200-000002000000}" name="事項"/>
    <tableColumn id="3" xr3:uid="{00000000-0010-0000-0200-000003000000}" name="優先程度"/>
    <tableColumn id="4" xr3:uid="{00000000-0010-0000-0200-000004000000}" name="具體確認內容"/>
    <tableColumn id="5" xr3:uid="{00000000-0010-0000-0200-000005000000}" name="PDF依據"/>
    <tableColumn id="6" xr3:uid="{00000000-0010-0000-0200-000006000000}" name="回覆／處理紀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Detail7" displayName="Detail7" ref="A5:P611" totalsRowShown="0">
  <tableColumns count="16">
    <tableColumn id="1" xr3:uid="{00000000-0010-0000-0300-000001000000}" name="資料ID"/>
    <tableColumn id="2" xr3:uid="{00000000-0010-0000-0300-000002000000}" name="原分類"/>
    <tableColumn id="3" xr3:uid="{00000000-0010-0000-0300-000003000000}" name="子分類"/>
    <tableColumn id="4" xr3:uid="{00000000-0010-0000-0300-000004000000}" name="原項次"/>
    <tableColumn id="5" xr3:uid="{00000000-0010-0000-0300-000005000000}" name="工程項目／規格"/>
    <tableColumn id="6" xr3:uid="{00000000-0010-0000-0300-000006000000}" name="單位"/>
    <tableColumn id="7" xr3:uid="{00000000-0010-0000-0300-000007000000}" name="數量"/>
    <tableColumn id="8" xr3:uid="{00000000-0010-0000-0300-000008000000}" name="原單價"/>
    <tableColumn id="9" xr3:uid="{00000000-0010-0000-0300-000009000000}" name="原複價"/>
    <tableColumn id="10" xr3:uid="{00000000-0010-0000-0300-00000A000000}" name="數量×單價"/>
    <tableColumn id="11" xr3:uid="{00000000-0010-0000-0300-00000B000000}" name="原複價減乘算"/>
    <tableColumn id="12" xr3:uid="{00000000-0010-0000-0300-00000C000000}" name="品牌／原備註"/>
    <tableColumn id="13" xr3:uid="{00000000-0010-0000-0300-00000D000000}" name="PDF頁"/>
    <tableColumn id="14" xr3:uid="{00000000-0010-0000-0300-00000E000000}" name="性質"/>
    <tableColumn id="15" xr3:uid="{00000000-0010-0000-0300-00000F000000}" name="統一比較分類"/>
    <tableColumn id="16" xr3:uid="{00000000-0010-0000-0300-000010000000}" name="核對說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5"/>
  <sheetViews>
    <sheetView showGridLines="0" workbookViewId="0">
      <pane ySplit="5" topLeftCell="A6" activePane="bottomLeft" state="frozen"/>
      <selection pane="bottomLeft" activeCell="E34" sqref="E34"/>
    </sheetView>
  </sheetViews>
  <sheetFormatPr baseColWidth="10" defaultColWidth="8.83203125" defaultRowHeight="14"/>
  <cols>
    <col min="1" max="1" width="31" customWidth="1"/>
    <col min="2" max="4" width="20" customWidth="1"/>
    <col min="5" max="5" width="76" customWidth="1"/>
    <col min="8" max="8" width="12" bestFit="1" customWidth="1"/>
  </cols>
  <sheetData>
    <row r="2" spans="1:5" ht="19.25" customHeight="1">
      <c r="A2" s="1" t="s">
        <v>0</v>
      </c>
    </row>
    <row r="3" spans="1:5" ht="14" customHeight="1">
      <c r="A3" s="14" t="s">
        <v>1</v>
      </c>
    </row>
    <row r="5" spans="1:5" ht="26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spans="1:5" ht="14" customHeight="1">
      <c r="A6" s="3" t="s">
        <v>7</v>
      </c>
      <c r="B6" s="8">
        <f>原報價總表!C6</f>
        <v>141502803</v>
      </c>
      <c r="C6" s="8">
        <f>原報價總表!C7</f>
        <v>143400000</v>
      </c>
      <c r="D6" s="8">
        <f>原報價總表!C8</f>
        <v>210047839</v>
      </c>
      <c r="E6" s="3" t="s">
        <v>8</v>
      </c>
    </row>
    <row r="7" spans="1:5" ht="14" customHeight="1">
      <c r="A7" s="4" t="s">
        <v>9</v>
      </c>
      <c r="B7" s="9">
        <f>原報價總表!D6</f>
        <v>134764574</v>
      </c>
      <c r="C7" s="9">
        <f>原報價總表!D7</f>
        <v>136571429</v>
      </c>
      <c r="D7" s="9">
        <f>原報價總表!D8</f>
        <v>199983656</v>
      </c>
      <c r="E7" s="4" t="s">
        <v>10</v>
      </c>
    </row>
    <row r="8" spans="1:5" ht="14" customHeight="1">
      <c r="A8" s="3" t="s">
        <v>11</v>
      </c>
      <c r="B8" s="8">
        <f>原報價總表!E6</f>
        <v>6738229</v>
      </c>
      <c r="C8" s="8">
        <f>原報價總表!E7</f>
        <v>6828571</v>
      </c>
      <c r="D8" s="8">
        <f>原報價總表!E8</f>
        <v>9999183</v>
      </c>
      <c r="E8" s="3" t="s">
        <v>12</v>
      </c>
    </row>
    <row r="9" spans="1:5" ht="14" customHeight="1">
      <c r="A9" s="4" t="s">
        <v>13</v>
      </c>
      <c r="B9" s="9" t="str">
        <f>IF(原報價總表!F6="","未列價／業主負擔",原報價總表!F6)</f>
        <v>未列價／業主負擔</v>
      </c>
      <c r="C9" s="9" t="str">
        <f>IF(原報價總表!F7="","未列價／業主負擔",原報價總表!F7)</f>
        <v>未列價／業主負擔</v>
      </c>
      <c r="D9" s="9">
        <f>IF(原報價總表!F8="","未列價／業主負擔",原報價總表!F8)</f>
        <v>65000</v>
      </c>
      <c r="E9" s="4" t="s">
        <v>14</v>
      </c>
    </row>
    <row r="10" spans="1:5" ht="14" customHeight="1">
      <c r="A10" s="3" t="s">
        <v>15</v>
      </c>
      <c r="B10" s="8">
        <f>B6-$C$6</f>
        <v>-1897197</v>
      </c>
      <c r="C10" s="8">
        <f>C6-$C$6</f>
        <v>0</v>
      </c>
      <c r="D10" s="8">
        <f>D6-$C$6</f>
        <v>66647839</v>
      </c>
      <c r="E10" s="3" t="s">
        <v>16</v>
      </c>
    </row>
    <row r="11" spans="1:5" ht="14" customHeight="1">
      <c r="A11" s="4" t="s">
        <v>17</v>
      </c>
      <c r="B11" s="16">
        <f>B10/$C$6</f>
        <v>-1.3230104602510459E-2</v>
      </c>
      <c r="C11" s="16">
        <f>C10/$C$6</f>
        <v>0</v>
      </c>
      <c r="D11" s="16">
        <f>D10/$C$6</f>
        <v>0.46476875174337517</v>
      </c>
      <c r="E11" s="4" t="s">
        <v>18</v>
      </c>
    </row>
    <row r="12" spans="1:5" ht="14" customHeight="1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</row>
    <row r="13" spans="1:5" ht="14" customHeight="1">
      <c r="A13" s="4" t="s">
        <v>24</v>
      </c>
      <c r="B13" s="4" t="s">
        <v>25</v>
      </c>
      <c r="C13" s="4" t="s">
        <v>26</v>
      </c>
      <c r="D13" s="4" t="s">
        <v>26</v>
      </c>
      <c r="E13" s="4" t="s">
        <v>27</v>
      </c>
    </row>
    <row r="14" spans="1:5" ht="14" customHeight="1">
      <c r="A14" s="3" t="s">
        <v>28</v>
      </c>
      <c r="B14" s="3">
        <v>20</v>
      </c>
      <c r="C14" s="3">
        <v>9</v>
      </c>
      <c r="D14" s="3">
        <v>8</v>
      </c>
      <c r="E14" s="3" t="s">
        <v>29</v>
      </c>
    </row>
    <row r="15" spans="1:5" ht="14" customHeight="1">
      <c r="A15" s="4" t="s">
        <v>30</v>
      </c>
      <c r="B15" s="17"/>
      <c r="C15" s="17"/>
      <c r="D15" s="17"/>
      <c r="E15" s="4" t="s">
        <v>31</v>
      </c>
    </row>
    <row r="16" spans="1:5" ht="14" customHeight="1">
      <c r="A16" s="3" t="s">
        <v>32</v>
      </c>
      <c r="B16" s="8" t="str">
        <f>IF(B15="","待補價",B6+B15)</f>
        <v>待補價</v>
      </c>
      <c r="C16" s="8" t="str">
        <f>IF(C15="","待補價",C6+C15)</f>
        <v>待補價</v>
      </c>
      <c r="D16" s="8" t="str">
        <f>IF(D15="","待補價",D6+D15)</f>
        <v>待補價</v>
      </c>
      <c r="E16" s="3" t="s">
        <v>33</v>
      </c>
    </row>
    <row r="19" spans="1:8" ht="14" customHeight="1">
      <c r="A19" t="s">
        <v>34</v>
      </c>
      <c r="E19" s="18"/>
    </row>
    <row r="20" spans="1:8" ht="14" customHeight="1">
      <c r="A20" t="s">
        <v>35</v>
      </c>
      <c r="E20" s="18" t="s">
        <v>36</v>
      </c>
    </row>
    <row r="21" spans="1:8" ht="14" customHeight="1">
      <c r="A21" t="s">
        <v>37</v>
      </c>
      <c r="E21" s="18" t="s">
        <v>38</v>
      </c>
    </row>
    <row r="22" spans="1:8" ht="14" customHeight="1">
      <c r="A22" t="s">
        <v>39</v>
      </c>
      <c r="E22" s="18" t="s">
        <v>40</v>
      </c>
      <c r="G22" t="s">
        <v>41</v>
      </c>
      <c r="H22" t="s">
        <v>7</v>
      </c>
    </row>
    <row r="23" spans="1:8" ht="14" customHeight="1">
      <c r="A23" t="s">
        <v>42</v>
      </c>
      <c r="E23" s="18" t="s">
        <v>43</v>
      </c>
      <c r="G23" t="str">
        <f>B5</f>
        <v>大展營造</v>
      </c>
      <c r="H23" s="15">
        <f>B6</f>
        <v>141502803</v>
      </c>
    </row>
    <row r="24" spans="1:8" ht="14" customHeight="1">
      <c r="G24" t="str">
        <f>C5</f>
        <v>立東營造</v>
      </c>
      <c r="H24" s="15">
        <f>C6</f>
        <v>143400000</v>
      </c>
    </row>
    <row r="25" spans="1:8" ht="14" customHeight="1">
      <c r="G25" t="str">
        <f>D5</f>
        <v>基益營造</v>
      </c>
      <c r="H25" s="15">
        <f>D6</f>
        <v>210047839</v>
      </c>
    </row>
  </sheetData>
  <phoneticPr fontId="7" type="noConversion"/>
  <dataValidations count="1">
    <dataValidation type="decimal" operator="greaterThanOrEqual" sqref="B15:D15" xr:uid="{00000000-0002-0000-0000-000000000000}">
      <formula1>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9"/>
  <sheetViews>
    <sheetView showGridLines="0" workbookViewId="0">
      <pane ySplit="5" topLeftCell="A6" activePane="bottomLeft" state="frozen"/>
      <selection pane="bottomLeft" activeCell="G43" sqref="G43"/>
    </sheetView>
  </sheetViews>
  <sheetFormatPr baseColWidth="10" defaultColWidth="8.83203125" defaultRowHeight="14"/>
  <cols>
    <col min="1" max="1" width="30" customWidth="1"/>
    <col min="2" max="6" width="20" customWidth="1"/>
    <col min="7" max="7" width="90" customWidth="1"/>
  </cols>
  <sheetData>
    <row r="2" spans="1:7" ht="19.25" customHeight="1">
      <c r="A2" s="1" t="s">
        <v>44</v>
      </c>
    </row>
    <row r="3" spans="1:7" ht="14" customHeight="1">
      <c r="A3" s="14" t="s">
        <v>45</v>
      </c>
    </row>
    <row r="5" spans="1:7" ht="14" customHeight="1">
      <c r="A5" s="2" t="s">
        <v>46</v>
      </c>
      <c r="B5" s="2" t="s">
        <v>3</v>
      </c>
      <c r="C5" s="2" t="s">
        <v>4</v>
      </c>
      <c r="D5" s="2" t="s">
        <v>5</v>
      </c>
      <c r="E5" s="2" t="s">
        <v>47</v>
      </c>
      <c r="F5" s="2" t="s">
        <v>48</v>
      </c>
      <c r="G5" s="2" t="s">
        <v>49</v>
      </c>
    </row>
    <row r="6" spans="1:7" ht="14" customHeight="1">
      <c r="A6" s="3" t="s">
        <v>50</v>
      </c>
      <c r="B6" s="8">
        <f>IF(COUNTIFS(三家明細!$O$6:$O$232,$A6)=0,"未單列",SUMIFS(三家明細!$I$6:$I$232,三家明細!$O$6:$O$232,$A6))</f>
        <v>3604928</v>
      </c>
      <c r="C6" s="8">
        <f>IF(COUNTIFS(三家明細!$O$233:$O$420,$A6)=0,"未單列",SUMIFS(三家明細!$I$233:$I$420,三家明細!$O$233:$O$420,$A6))</f>
        <v>3799609</v>
      </c>
      <c r="D6" s="8">
        <f>IF(COUNTIFS(三家明細!$O$421:$O$611,$A6)=0,"未單列",SUMIFS(三家明細!$I$421:$I$611,三家明細!$O$421:$O$611,$A6))</f>
        <v>6917256</v>
      </c>
      <c r="E6" s="8">
        <f t="shared" ref="E6:E15" si="0">IF(AND(ISNUMBER(B6),ISNUMBER(C6)),C6-B6,"")</f>
        <v>194681</v>
      </c>
      <c r="F6" s="8">
        <f t="shared" ref="F6:F15" si="1">IF(AND(ISNUMBER(C6),ISNUMBER(D6)),D6-C6,"")</f>
        <v>3117647</v>
      </c>
      <c r="G6" s="3" t="s">
        <v>51</v>
      </c>
    </row>
    <row r="7" spans="1:7" ht="14" customHeight="1">
      <c r="A7" s="4" t="s">
        <v>52</v>
      </c>
      <c r="B7" s="9">
        <f>IF(COUNTIFS(三家明細!$O$6:$O$232,$A7)=0,"未單列",SUMIFS(三家明細!$I$6:$I$232,三家明細!$O$6:$O$232,$A7))</f>
        <v>39793568</v>
      </c>
      <c r="C7" s="9">
        <f>IF(COUNTIFS(三家明細!$O$233:$O$420,$A7)=0,"未單列",SUMIFS(三家明細!$I$233:$I$420,三家明細!$O$233:$O$420,$A7))</f>
        <v>37387686</v>
      </c>
      <c r="D7" s="9">
        <f>IF(COUNTIFS(三家明細!$O$421:$O$611,$A7)=0,"未單列",SUMIFS(三家明細!$I$421:$I$611,三家明細!$O$421:$O$611,$A7))</f>
        <v>63168038</v>
      </c>
      <c r="E7" s="9">
        <f t="shared" si="0"/>
        <v>-2405882</v>
      </c>
      <c r="F7" s="9">
        <f t="shared" si="1"/>
        <v>25780352</v>
      </c>
      <c r="G7" s="4" t="s">
        <v>53</v>
      </c>
    </row>
    <row r="8" spans="1:7" ht="14" customHeight="1">
      <c r="A8" s="3" t="s">
        <v>54</v>
      </c>
      <c r="B8" s="8">
        <f>IF(COUNTIFS(三家明細!$O$6:$O$232,$A8)=0,"未單列",SUMIFS(三家明細!$I$6:$I$232,三家明細!$O$6:$O$232,$A8))</f>
        <v>31302484</v>
      </c>
      <c r="C8" s="8">
        <f>IF(COUNTIFS(三家明細!$O$233:$O$420,$A8)=0,"未單列",SUMIFS(三家明細!$I$233:$I$420,三家明細!$O$233:$O$420,$A8))</f>
        <v>35684599</v>
      </c>
      <c r="D8" s="8">
        <f>IF(COUNTIFS(三家明細!$O$421:$O$611,$A8)=0,"未單列",SUMIFS(三家明細!$I$421:$I$611,三家明細!$O$421:$O$611,$A8))</f>
        <v>41869118</v>
      </c>
      <c r="E8" s="8">
        <f t="shared" si="0"/>
        <v>4382115</v>
      </c>
      <c r="F8" s="8">
        <f t="shared" si="1"/>
        <v>6184519</v>
      </c>
      <c r="G8" s="3" t="s">
        <v>55</v>
      </c>
    </row>
    <row r="9" spans="1:7" ht="14" customHeight="1">
      <c r="A9" s="4" t="s">
        <v>56</v>
      </c>
      <c r="B9" s="9">
        <f>IF(COUNTIFS(三家明細!$O$6:$O$232,$A9)=0,"未單列",SUMIFS(三家明細!$I$6:$I$232,三家明細!$O$6:$O$232,$A9))</f>
        <v>32195141</v>
      </c>
      <c r="C9" s="9">
        <f>IF(COUNTIFS(三家明細!$O$233:$O$420,$A9)=0,"未單列",SUMIFS(三家明細!$I$233:$I$420,三家明細!$O$233:$O$420,$A9))</f>
        <v>29804181</v>
      </c>
      <c r="D9" s="9">
        <f>IF(COUNTIFS(三家明細!$O$421:$O$611,$A9)=0,"未單列",SUMIFS(三家明細!$I$421:$I$611,三家明細!$O$421:$O$611,$A9))</f>
        <v>54161082</v>
      </c>
      <c r="E9" s="9">
        <f t="shared" si="0"/>
        <v>-2390960</v>
      </c>
      <c r="F9" s="9">
        <f t="shared" si="1"/>
        <v>24356901</v>
      </c>
      <c r="G9" s="4" t="s">
        <v>57</v>
      </c>
    </row>
    <row r="10" spans="1:7" ht="14" customHeight="1">
      <c r="A10" s="3" t="s">
        <v>58</v>
      </c>
      <c r="B10" s="8">
        <f>IF(COUNTIFS(三家明細!$O$6:$O$232,$A10)=0,"未單列",SUMIFS(三家明細!$I$6:$I$232,三家明細!$O$6:$O$232,$A10))</f>
        <v>7140806</v>
      </c>
      <c r="C10" s="8">
        <f>IF(COUNTIFS(三家明細!$O$233:$O$420,$A10)=0,"未單列",SUMIFS(三家明細!$I$233:$I$420,三家明細!$O$233:$O$420,$A10))</f>
        <v>9523700</v>
      </c>
      <c r="D10" s="8">
        <f>IF(COUNTIFS(三家明細!$O$421:$O$611,$A10)=0,"未單列",SUMIFS(三家明細!$I$421:$I$611,三家明細!$O$421:$O$611,$A10))</f>
        <v>7371886</v>
      </c>
      <c r="E10" s="8">
        <f t="shared" si="0"/>
        <v>2382894</v>
      </c>
      <c r="F10" s="8">
        <f t="shared" si="1"/>
        <v>-2151814</v>
      </c>
      <c r="G10" s="3" t="s">
        <v>59</v>
      </c>
    </row>
    <row r="11" spans="1:7" ht="14" customHeight="1">
      <c r="A11" s="4" t="s">
        <v>60</v>
      </c>
      <c r="B11" s="9">
        <f>IF(COUNTIFS(三家明細!$O$6:$O$232,$A11)=0,"未單列",SUMIFS(三家明細!$I$6:$I$232,三家明細!$O$6:$O$232,$A11))</f>
        <v>3810721</v>
      </c>
      <c r="C11" s="9">
        <f>IF(COUNTIFS(三家明細!$O$233:$O$420,$A11)=0,"未單列",SUMIFS(三家明細!$I$233:$I$420,三家明細!$O$233:$O$420,$A11))</f>
        <v>5789532</v>
      </c>
      <c r="D11" s="9">
        <f>IF(COUNTIFS(三家明細!$O$421:$O$611,$A11)=0,"未單列",SUMIFS(三家明細!$I$421:$I$611,三家明細!$O$421:$O$611,$A11))</f>
        <v>9480285</v>
      </c>
      <c r="E11" s="9">
        <f t="shared" si="0"/>
        <v>1978811</v>
      </c>
      <c r="F11" s="9">
        <f t="shared" si="1"/>
        <v>3690753</v>
      </c>
      <c r="G11" s="4" t="s">
        <v>61</v>
      </c>
    </row>
    <row r="12" spans="1:7" ht="14" customHeight="1">
      <c r="A12" s="3" t="s">
        <v>62</v>
      </c>
      <c r="B12" s="8">
        <f>IF(COUNTIFS(三家明細!$O$6:$O$232,$A12)=0,"未單列",SUMIFS(三家明細!$I$6:$I$232,三家明細!$O$6:$O$232,$A12))</f>
        <v>3605864</v>
      </c>
      <c r="C12" s="8">
        <f>IF(COUNTIFS(三家明細!$O$233:$O$420,$A12)=0,"未單列",SUMIFS(三家明細!$I$233:$I$420,三家明細!$O$233:$O$420,$A12))</f>
        <v>2927743</v>
      </c>
      <c r="D12" s="8">
        <f>IF(COUNTIFS(三家明細!$O$421:$O$611,$A12)=0,"未單列",SUMIFS(三家明細!$I$421:$I$611,三家明細!$O$421:$O$611,$A12))</f>
        <v>2378579</v>
      </c>
      <c r="E12" s="8">
        <f t="shared" si="0"/>
        <v>-678121</v>
      </c>
      <c r="F12" s="8">
        <f t="shared" si="1"/>
        <v>-549164</v>
      </c>
      <c r="G12" s="3" t="s">
        <v>63</v>
      </c>
    </row>
    <row r="13" spans="1:7" ht="14" customHeight="1">
      <c r="A13" s="4" t="s">
        <v>64</v>
      </c>
      <c r="B13" s="9">
        <f>IF(COUNTIFS(三家明細!$O$6:$O$232,$A13)=0,"未單列",SUMIFS(三家明細!$I$6:$I$232,三家明細!$O$6:$O$232,$A13))</f>
        <v>13311062</v>
      </c>
      <c r="C13" s="9">
        <f>IF(COUNTIFS(三家明細!$O$233:$O$420,$A13)=0,"未單列",SUMIFS(三家明細!$I$233:$I$420,三家明細!$O$233:$O$420,$A13))</f>
        <v>11654379</v>
      </c>
      <c r="D13" s="9">
        <f>IF(COUNTIFS(三家明細!$O$421:$O$611,$A13)=0,"未單列",SUMIFS(三家明細!$I$421:$I$611,三家明細!$O$421:$O$611,$A13))</f>
        <v>14637413</v>
      </c>
      <c r="E13" s="9">
        <f t="shared" si="0"/>
        <v>-1656683</v>
      </c>
      <c r="F13" s="9">
        <f t="shared" si="1"/>
        <v>2983034</v>
      </c>
      <c r="G13" s="4" t="s">
        <v>65</v>
      </c>
    </row>
    <row r="14" spans="1:7" ht="14" customHeight="1">
      <c r="A14" s="3" t="s">
        <v>66</v>
      </c>
      <c r="B14" s="8">
        <f>IF(COUNTIFS(三家明細!$O$6:$O$232,$A14)=0,"未單列",SUMIFS(三家明細!$I$6:$I$232,三家明細!$O$6:$O$232,$A14))</f>
        <v>6738229</v>
      </c>
      <c r="C14" s="8">
        <f>IF(COUNTIFS(三家明細!$O$233:$O$420,$A14)=0,"未單列",SUMIFS(三家明細!$I$233:$I$420,三家明細!$O$233:$O$420,$A14))</f>
        <v>6828571</v>
      </c>
      <c r="D14" s="8">
        <f>IF(COUNTIFS(三家明細!$O$421:$O$611,$A14)=0,"未單列",SUMIFS(三家明細!$I$421:$I$611,三家明細!$O$421:$O$611,$A14))</f>
        <v>9999183</v>
      </c>
      <c r="E14" s="8">
        <f t="shared" si="0"/>
        <v>90342</v>
      </c>
      <c r="F14" s="8">
        <f t="shared" si="1"/>
        <v>3170612</v>
      </c>
      <c r="G14" s="3" t="s">
        <v>67</v>
      </c>
    </row>
    <row r="15" spans="1:7" ht="14" customHeight="1">
      <c r="A15" s="4" t="s">
        <v>13</v>
      </c>
      <c r="B15" s="9" t="str">
        <f>IF(COUNTIFS(三家明細!$O$6:$O$232,$A15)=0,"未單列",SUMIFS(三家明細!$I$6:$I$232,三家明細!$O$6:$O$232,$A15))</f>
        <v>未單列</v>
      </c>
      <c r="C15" s="9" t="str">
        <f>IF(COUNTIFS(三家明細!$O$233:$O$420,$A15)=0,"未單列",SUMIFS(三家明細!$I$233:$I$420,三家明細!$O$233:$O$420,$A15))</f>
        <v>未單列</v>
      </c>
      <c r="D15" s="9">
        <f>IF(COUNTIFS(三家明細!$O$421:$O$611,$A15)=0,"未單列",SUMIFS(三家明細!$I$421:$I$611,三家明細!$O$421:$O$611,$A15))</f>
        <v>65000</v>
      </c>
      <c r="E15" s="9" t="str">
        <f t="shared" si="0"/>
        <v/>
      </c>
      <c r="F15" s="9" t="str">
        <f t="shared" si="1"/>
        <v/>
      </c>
      <c r="G15" s="4" t="s">
        <v>68</v>
      </c>
    </row>
    <row r="17" spans="1:4" ht="14" customHeight="1">
      <c r="A17" t="s">
        <v>69</v>
      </c>
      <c r="B17" s="15">
        <f>SUM(B6:B15)</f>
        <v>141502803</v>
      </c>
      <c r="C17" s="15">
        <f>SUM(C6:C15)</f>
        <v>143400000</v>
      </c>
      <c r="D17" s="15">
        <f>SUM(D6:D15)</f>
        <v>210047840</v>
      </c>
    </row>
    <row r="18" spans="1:4" ht="14" customHeight="1">
      <c r="A18" t="s">
        <v>7</v>
      </c>
      <c r="B18" s="15">
        <f>綜合總覽!B6</f>
        <v>141502803</v>
      </c>
      <c r="C18" s="15">
        <f>綜合總覽!C6</f>
        <v>143400000</v>
      </c>
      <c r="D18" s="15">
        <f>綜合總覽!D6</f>
        <v>210047839</v>
      </c>
    </row>
    <row r="19" spans="1:4" ht="14" customHeight="1">
      <c r="A19" t="s">
        <v>70</v>
      </c>
      <c r="B19" s="15">
        <f>B17-B18</f>
        <v>0</v>
      </c>
      <c r="C19" s="15">
        <f>C17-C18</f>
        <v>0</v>
      </c>
      <c r="D19" s="15">
        <f>D17-D18</f>
        <v>1</v>
      </c>
    </row>
  </sheetData>
  <phoneticPr fontId="7" type="noConversion"/>
  <conditionalFormatting sqref="B19:D19">
    <cfRule type="cellIs" dxfId="3" priority="1" operator="notEqual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35"/>
  <sheetViews>
    <sheetView showGridLines="0" workbookViewId="0">
      <pane ySplit="5" topLeftCell="A6" activePane="bottomLeft" state="frozen"/>
      <selection pane="bottomLeft" activeCell="H9" sqref="H9"/>
    </sheetView>
  </sheetViews>
  <sheetFormatPr baseColWidth="10" defaultColWidth="8.83203125" defaultRowHeight="14"/>
  <cols>
    <col min="1" max="1" width="27" customWidth="1"/>
    <col min="2" max="2" width="12" customWidth="1"/>
    <col min="3" max="4" width="16" customWidth="1"/>
    <col min="5" max="5" width="18" customWidth="1"/>
    <col min="6" max="7" width="16" customWidth="1"/>
    <col min="8" max="8" width="18" customWidth="1"/>
    <col min="9" max="10" width="16" customWidth="1"/>
    <col min="11" max="11" width="18" customWidth="1"/>
    <col min="12" max="12" width="20" customWidth="1"/>
    <col min="13" max="13" width="90" customWidth="1"/>
    <col min="14" max="14" width="65" customWidth="1"/>
  </cols>
  <sheetData>
    <row r="2" spans="1:14" ht="19.25" customHeight="1">
      <c r="A2" s="1" t="s">
        <v>71</v>
      </c>
    </row>
    <row r="3" spans="1:14" ht="14" customHeight="1">
      <c r="A3" s="14" t="s">
        <v>72</v>
      </c>
    </row>
    <row r="5" spans="1:14" ht="14" customHeight="1">
      <c r="A5" s="2" t="s">
        <v>73</v>
      </c>
      <c r="B5" s="2" t="s">
        <v>74</v>
      </c>
      <c r="C5" s="2" t="s">
        <v>75</v>
      </c>
      <c r="D5" s="2" t="s">
        <v>76</v>
      </c>
      <c r="E5" s="2" t="s">
        <v>77</v>
      </c>
      <c r="F5" s="2" t="s">
        <v>78</v>
      </c>
      <c r="G5" s="2" t="s">
        <v>79</v>
      </c>
      <c r="H5" s="2" t="s">
        <v>80</v>
      </c>
      <c r="I5" s="2" t="s">
        <v>81</v>
      </c>
      <c r="J5" s="2" t="s">
        <v>82</v>
      </c>
      <c r="K5" s="2" t="s">
        <v>83</v>
      </c>
      <c r="L5" s="2" t="s">
        <v>84</v>
      </c>
      <c r="M5" s="2" t="s">
        <v>49</v>
      </c>
      <c r="N5" s="2" t="s">
        <v>85</v>
      </c>
    </row>
    <row r="6" spans="1:14" ht="14" customHeight="1">
      <c r="A6" s="3" t="s">
        <v>86</v>
      </c>
      <c r="B6" s="3" t="s">
        <v>87</v>
      </c>
      <c r="C6" s="6">
        <f>SUM(三家明細!G14)</f>
        <v>1421.46</v>
      </c>
      <c r="D6" s="6">
        <f>三家明細!H14</f>
        <v>450</v>
      </c>
      <c r="E6" s="6">
        <f>SUM(三家明細!I14)</f>
        <v>639657</v>
      </c>
      <c r="F6" s="6">
        <f>SUM(三家明細!G252)</f>
        <v>1969</v>
      </c>
      <c r="G6" s="6">
        <f>三家明細!H252</f>
        <v>270</v>
      </c>
      <c r="H6" s="6">
        <f>SUM(三家明細!I252)</f>
        <v>531630</v>
      </c>
      <c r="I6" s="6">
        <f>SUM(三家明細!G443)</f>
        <v>4485</v>
      </c>
      <c r="J6" s="6">
        <f>三家明細!H443</f>
        <v>285</v>
      </c>
      <c r="K6" s="6">
        <f>SUM(三家明細!I443)</f>
        <v>1278225</v>
      </c>
      <c r="L6" s="19">
        <f t="shared" ref="L6:L35" si="0">IF(COUNT(D6,G6,J6)&lt;3,"",MAX(D6,G6,J6)/MIN(D6,G6,J6)-1)</f>
        <v>0.66666666666666674</v>
      </c>
      <c r="M6" s="3" t="s">
        <v>88</v>
      </c>
      <c r="N6" s="3" t="s">
        <v>89</v>
      </c>
    </row>
    <row r="7" spans="1:14" ht="14" customHeight="1">
      <c r="A7" s="4" t="s">
        <v>90</v>
      </c>
      <c r="B7" s="4" t="s">
        <v>87</v>
      </c>
      <c r="C7" s="7">
        <f>SUM(三家明細!G15)</f>
        <v>1421.46</v>
      </c>
      <c r="D7" s="7">
        <f>三家明細!H15</f>
        <v>360</v>
      </c>
      <c r="E7" s="7">
        <f>SUM(三家明細!I15)</f>
        <v>511726</v>
      </c>
      <c r="F7" s="7">
        <f>SUM(三家明細!G253)</f>
        <v>1819</v>
      </c>
      <c r="G7" s="7">
        <f>三家明細!H253</f>
        <v>340</v>
      </c>
      <c r="H7" s="7">
        <f>SUM(三家明細!I253)</f>
        <v>618460</v>
      </c>
      <c r="I7" s="7">
        <f>SUM(三家明細!G445)</f>
        <v>3250</v>
      </c>
      <c r="J7" s="7">
        <f>三家明細!H445</f>
        <v>285</v>
      </c>
      <c r="K7" s="7">
        <f>SUM(三家明細!I445)</f>
        <v>926250</v>
      </c>
      <c r="L7" s="20">
        <f t="shared" si="0"/>
        <v>0.26315789473684204</v>
      </c>
      <c r="M7" s="4" t="s">
        <v>91</v>
      </c>
      <c r="N7" s="4" t="s">
        <v>92</v>
      </c>
    </row>
    <row r="8" spans="1:14" ht="14" customHeight="1">
      <c r="A8" s="3" t="s">
        <v>93</v>
      </c>
      <c r="B8" s="3" t="s">
        <v>87</v>
      </c>
      <c r="C8" s="6">
        <f>SUM(三家明細!G44)</f>
        <v>286.35000000000002</v>
      </c>
      <c r="D8" s="6">
        <f>三家明細!H44</f>
        <v>2940</v>
      </c>
      <c r="E8" s="6">
        <f>SUM(三家明細!I44)</f>
        <v>841869</v>
      </c>
      <c r="F8" s="6">
        <f>SUM(三家明細!G258)</f>
        <v>93</v>
      </c>
      <c r="G8" s="6">
        <f>三家明細!H258</f>
        <v>2870</v>
      </c>
      <c r="H8" s="6">
        <f>SUM(三家明細!I258)</f>
        <v>266910</v>
      </c>
      <c r="I8" s="6">
        <f>SUM(三家明細!G444)</f>
        <v>425</v>
      </c>
      <c r="J8" s="6">
        <f>三家明細!H444</f>
        <v>3000</v>
      </c>
      <c r="K8" s="6">
        <f>SUM(三家明細!I444)</f>
        <v>1275000</v>
      </c>
      <c r="L8" s="19">
        <f t="shared" si="0"/>
        <v>4.5296167247386832E-2</v>
      </c>
      <c r="M8" s="3" t="s">
        <v>94</v>
      </c>
      <c r="N8" s="3" t="s">
        <v>95</v>
      </c>
    </row>
    <row r="9" spans="1:14" ht="14" customHeight="1">
      <c r="A9" s="4" t="s">
        <v>96</v>
      </c>
      <c r="B9" s="4" t="s">
        <v>87</v>
      </c>
      <c r="C9" s="7">
        <f>SUM(三家明細!G45)</f>
        <v>2747.47</v>
      </c>
      <c r="D9" s="7">
        <f>三家明細!H45</f>
        <v>3240</v>
      </c>
      <c r="E9" s="7">
        <f>SUM(三家明細!I45)</f>
        <v>8901803</v>
      </c>
      <c r="F9" s="7">
        <f>SUM(三家明細!G259)</f>
        <v>2568</v>
      </c>
      <c r="G9" s="7">
        <f>三家明細!H259</f>
        <v>3210</v>
      </c>
      <c r="H9" s="7">
        <f>SUM(三家明細!I259)</f>
        <v>8243290</v>
      </c>
      <c r="I9" s="7">
        <f>SUM(三家明細!G450)</f>
        <v>1795</v>
      </c>
      <c r="J9" s="7">
        <f>三家明細!H450</f>
        <v>3850</v>
      </c>
      <c r="K9" s="7">
        <f>SUM(三家明細!I450)</f>
        <v>6910750</v>
      </c>
      <c r="L9" s="20">
        <f t="shared" si="0"/>
        <v>0.19937694704049846</v>
      </c>
      <c r="M9" s="4" t="s">
        <v>97</v>
      </c>
      <c r="N9" s="4" t="s">
        <v>98</v>
      </c>
    </row>
    <row r="10" spans="1:14" ht="14" customHeight="1">
      <c r="A10" s="3" t="s">
        <v>99</v>
      </c>
      <c r="B10" s="3" t="s">
        <v>100</v>
      </c>
      <c r="C10" s="6">
        <f>SUM(三家明細!G41)</f>
        <v>96.04</v>
      </c>
      <c r="D10" s="6">
        <f>三家明細!H41</f>
        <v>27900</v>
      </c>
      <c r="E10" s="6">
        <f>SUM(三家明細!I41)</f>
        <v>2679516</v>
      </c>
      <c r="F10" s="6">
        <f>SUM(三家明細!G256)</f>
        <v>88.76</v>
      </c>
      <c r="G10" s="6">
        <f>三家明細!H256</f>
        <v>28300</v>
      </c>
      <c r="H10" s="6">
        <f>SUM(三家明細!I256)</f>
        <v>2511908</v>
      </c>
      <c r="I10" s="6">
        <f>SUM(三家明細!G448)</f>
        <v>648</v>
      </c>
      <c r="J10" s="6">
        <f>三家明細!H448</f>
        <v>30100</v>
      </c>
      <c r="K10" s="6">
        <f>SUM(三家明細!I448)</f>
        <v>19504800</v>
      </c>
      <c r="L10" s="19">
        <f t="shared" si="0"/>
        <v>7.8853046594982157E-2</v>
      </c>
      <c r="M10" s="3" t="s">
        <v>101</v>
      </c>
      <c r="N10" s="3" t="s">
        <v>102</v>
      </c>
    </row>
    <row r="11" spans="1:14" ht="14" customHeight="1">
      <c r="A11" s="4" t="s">
        <v>103</v>
      </c>
      <c r="B11" s="4" t="s">
        <v>100</v>
      </c>
      <c r="C11" s="7">
        <f>SUM(三家明細!G42)</f>
        <v>252.07</v>
      </c>
      <c r="D11" s="7">
        <f>三家明細!H42</f>
        <v>28700</v>
      </c>
      <c r="E11" s="7">
        <f>SUM(三家明細!I42)</f>
        <v>7234409</v>
      </c>
      <c r="F11" s="7">
        <f>SUM(三家明細!G257)</f>
        <v>209.07</v>
      </c>
      <c r="G11" s="7">
        <f>三家明細!H257</f>
        <v>29200</v>
      </c>
      <c r="H11" s="7">
        <f>SUM(三家明細!I257)</f>
        <v>6104844</v>
      </c>
      <c r="I11" s="7">
        <f>SUM(三家明細!G449)</f>
        <v>335</v>
      </c>
      <c r="J11" s="7">
        <f>三家明細!H449</f>
        <v>32000</v>
      </c>
      <c r="K11" s="7">
        <f>SUM(三家明細!I449)</f>
        <v>10720000</v>
      </c>
      <c r="L11" s="20">
        <f t="shared" si="0"/>
        <v>0.11498257839721249</v>
      </c>
      <c r="M11" s="4" t="s">
        <v>104</v>
      </c>
      <c r="N11" s="4" t="s">
        <v>105</v>
      </c>
    </row>
    <row r="12" spans="1:14" ht="14" customHeight="1">
      <c r="A12" s="3" t="s">
        <v>106</v>
      </c>
      <c r="B12" s="3" t="s">
        <v>107</v>
      </c>
      <c r="C12" s="6">
        <f>SUM(三家明細!G47)</f>
        <v>12533.35</v>
      </c>
      <c r="D12" s="6">
        <f>三家明細!H47</f>
        <v>1050</v>
      </c>
      <c r="E12" s="6">
        <f>SUM(三家明細!I47)</f>
        <v>13160018</v>
      </c>
      <c r="F12" s="6">
        <f>SUM(三家明細!G255)</f>
        <v>12412</v>
      </c>
      <c r="G12" s="6">
        <f>三家明細!H255</f>
        <v>1170</v>
      </c>
      <c r="H12" s="6">
        <f>SUM(三家明細!I255)</f>
        <v>14522040</v>
      </c>
      <c r="I12" s="6">
        <f>SUM(三家明細!G446,三家明細!G447)</f>
        <v>12710</v>
      </c>
      <c r="J12" s="6">
        <f>(三家明細!G446*三家明細!H446+三家明細!G447*三家明細!H447)/I12</f>
        <v>1325.1966955153423</v>
      </c>
      <c r="K12" s="6">
        <f>SUM(三家明細!I446,三家明細!I447)</f>
        <v>16843250</v>
      </c>
      <c r="L12" s="19">
        <f t="shared" si="0"/>
        <v>0.2620920909669926</v>
      </c>
      <c r="M12" s="3" t="s">
        <v>108</v>
      </c>
      <c r="N12" s="3" t="s">
        <v>109</v>
      </c>
    </row>
    <row r="13" spans="1:14" ht="14" customHeight="1">
      <c r="A13" s="4" t="s">
        <v>110</v>
      </c>
      <c r="B13" s="4" t="s">
        <v>107</v>
      </c>
      <c r="C13" s="7">
        <f>SUM(三家明細!G75)</f>
        <v>2925.82</v>
      </c>
      <c r="D13" s="7">
        <f>三家明細!H75</f>
        <v>710</v>
      </c>
      <c r="E13" s="7">
        <f>SUM(三家明細!I75)</f>
        <v>2077332</v>
      </c>
      <c r="F13" s="7">
        <f>SUM(三家明細!G302)</f>
        <v>2854</v>
      </c>
      <c r="G13" s="7">
        <f>三家明細!H302</f>
        <v>1240</v>
      </c>
      <c r="H13" s="7">
        <f>SUM(三家明細!I302)</f>
        <v>3538960</v>
      </c>
      <c r="I13" s="7">
        <f>SUM(三家明細!G493)</f>
        <v>2925</v>
      </c>
      <c r="J13" s="7">
        <f>三家明細!H493</f>
        <v>1200</v>
      </c>
      <c r="K13" s="7">
        <f>SUM(三家明細!I493)</f>
        <v>3510000</v>
      </c>
      <c r="L13" s="20">
        <f t="shared" si="0"/>
        <v>0.74647887323943651</v>
      </c>
      <c r="M13" s="4" t="s">
        <v>111</v>
      </c>
      <c r="N13" s="4" t="s">
        <v>112</v>
      </c>
    </row>
    <row r="14" spans="1:14" ht="14" customHeight="1">
      <c r="A14" s="3" t="s">
        <v>113</v>
      </c>
      <c r="B14" s="3" t="s">
        <v>107</v>
      </c>
      <c r="C14" s="6">
        <f>SUM(三家明細!G91)</f>
        <v>958.42</v>
      </c>
      <c r="D14" s="6">
        <f>三家明細!H91</f>
        <v>450</v>
      </c>
      <c r="E14" s="6">
        <f>SUM(三家明細!I91)</f>
        <v>431289</v>
      </c>
      <c r="F14" s="6">
        <f>SUM(三家明細!G312)</f>
        <v>937</v>
      </c>
      <c r="G14" s="6">
        <f>三家明細!H312</f>
        <v>570</v>
      </c>
      <c r="H14" s="6">
        <f>SUM(三家明細!I312)</f>
        <v>534090</v>
      </c>
      <c r="I14" s="6">
        <f>SUM(三家明細!G509)</f>
        <v>1205.05</v>
      </c>
      <c r="J14" s="6">
        <f>三家明細!H509</f>
        <v>950</v>
      </c>
      <c r="K14" s="6">
        <f>SUM(三家明細!I509)</f>
        <v>1144798</v>
      </c>
      <c r="L14" s="19">
        <f t="shared" si="0"/>
        <v>1.1111111111111112</v>
      </c>
      <c r="M14" s="3" t="s">
        <v>114</v>
      </c>
      <c r="N14" s="3" t="s">
        <v>115</v>
      </c>
    </row>
    <row r="15" spans="1:14" ht="14" customHeight="1">
      <c r="A15" s="4" t="s">
        <v>116</v>
      </c>
      <c r="B15" s="4" t="s">
        <v>107</v>
      </c>
      <c r="C15" s="7">
        <f>SUM(三家明細!G92)</f>
        <v>119.17</v>
      </c>
      <c r="D15" s="7">
        <f>三家明細!H92</f>
        <v>1410</v>
      </c>
      <c r="E15" s="7">
        <f>SUM(三家明細!I92)</f>
        <v>168030</v>
      </c>
      <c r="F15" s="7">
        <f>SUM(三家明細!G313)</f>
        <v>177</v>
      </c>
      <c r="G15" s="7">
        <f>三家明細!H313</f>
        <v>1140</v>
      </c>
      <c r="H15" s="7">
        <f>SUM(三家明細!I313)</f>
        <v>201780</v>
      </c>
      <c r="I15" s="7">
        <f>SUM(三家明細!G510)</f>
        <v>122.69</v>
      </c>
      <c r="J15" s="7">
        <f>三家明細!H510</f>
        <v>3500</v>
      </c>
      <c r="K15" s="7">
        <f>SUM(三家明細!I510)</f>
        <v>429415</v>
      </c>
      <c r="L15" s="20">
        <f t="shared" si="0"/>
        <v>2.0701754385964914</v>
      </c>
      <c r="M15" s="4" t="s">
        <v>117</v>
      </c>
      <c r="N15" s="4" t="s">
        <v>118</v>
      </c>
    </row>
    <row r="16" spans="1:14" ht="14" customHeight="1">
      <c r="A16" s="3" t="s">
        <v>119</v>
      </c>
      <c r="B16" s="3" t="s">
        <v>107</v>
      </c>
      <c r="C16" s="6">
        <f>SUM(三家明細!G66)</f>
        <v>1110.75</v>
      </c>
      <c r="D16" s="6">
        <f>三家明細!H66</f>
        <v>1450</v>
      </c>
      <c r="E16" s="6">
        <f>SUM(三家明細!I66)</f>
        <v>1610588</v>
      </c>
      <c r="F16" s="6">
        <f>SUM(三家明細!G314)</f>
        <v>1575</v>
      </c>
      <c r="G16" s="6">
        <f>三家明細!H314</f>
        <v>1190</v>
      </c>
      <c r="H16" s="6">
        <f>SUM(三家明細!I314)</f>
        <v>1874250</v>
      </c>
      <c r="I16" s="6">
        <f>SUM(三家明細!G503)</f>
        <v>3110.2</v>
      </c>
      <c r="J16" s="6">
        <f>三家明細!H503</f>
        <v>2500</v>
      </c>
      <c r="K16" s="6">
        <f>SUM(三家明細!I503)</f>
        <v>7775500</v>
      </c>
      <c r="L16" s="19">
        <f t="shared" si="0"/>
        <v>1.1008403361344539</v>
      </c>
      <c r="M16" s="3" t="s">
        <v>120</v>
      </c>
      <c r="N16" s="3" t="s">
        <v>121</v>
      </c>
    </row>
    <row r="17" spans="1:14" ht="14" customHeight="1">
      <c r="A17" s="4" t="s">
        <v>122</v>
      </c>
      <c r="B17" s="4" t="s">
        <v>107</v>
      </c>
      <c r="C17" s="7">
        <f>SUM(三家明細!G86)</f>
        <v>3156.85</v>
      </c>
      <c r="D17" s="7">
        <f>三家明細!H86</f>
        <v>842</v>
      </c>
      <c r="E17" s="7">
        <f>SUM(三家明細!I86)</f>
        <v>2658068</v>
      </c>
      <c r="F17" s="7">
        <f>SUM(三家明細!G315)</f>
        <v>3870</v>
      </c>
      <c r="G17" s="7">
        <f>三家明細!H315</f>
        <v>770</v>
      </c>
      <c r="H17" s="7">
        <f>SUM(三家明細!I315)</f>
        <v>2979900</v>
      </c>
      <c r="I17" s="7">
        <f>SUM(三家明細!G505)</f>
        <v>6934.29</v>
      </c>
      <c r="J17" s="7">
        <f>三家明細!H505</f>
        <v>1450</v>
      </c>
      <c r="K17" s="7">
        <f>SUM(三家明細!I505)</f>
        <v>10054721</v>
      </c>
      <c r="L17" s="20">
        <f t="shared" si="0"/>
        <v>0.88311688311688319</v>
      </c>
      <c r="M17" s="4" t="s">
        <v>123</v>
      </c>
      <c r="N17" s="4" t="s">
        <v>124</v>
      </c>
    </row>
    <row r="18" spans="1:14" ht="14" customHeight="1">
      <c r="A18" s="3" t="s">
        <v>125</v>
      </c>
      <c r="B18" s="3" t="s">
        <v>107</v>
      </c>
      <c r="C18" s="6">
        <f>SUM(三家明細!G87)</f>
        <v>2680.78</v>
      </c>
      <c r="D18" s="6">
        <f>三家明細!H87</f>
        <v>240</v>
      </c>
      <c r="E18" s="6">
        <f>SUM(三家明細!I87)</f>
        <v>643387</v>
      </c>
      <c r="F18" s="6">
        <f>SUM(三家明細!G316)</f>
        <v>2625</v>
      </c>
      <c r="G18" s="6">
        <f>三家明細!H316</f>
        <v>140</v>
      </c>
      <c r="H18" s="6">
        <f>SUM(三家明細!I316)</f>
        <v>367500</v>
      </c>
      <c r="I18" s="6">
        <f>SUM(三家明細!G504)</f>
        <v>2485.3000000000002</v>
      </c>
      <c r="J18" s="6">
        <f>三家明細!H504</f>
        <v>350</v>
      </c>
      <c r="K18" s="6">
        <f>SUM(三家明細!I504)</f>
        <v>869855</v>
      </c>
      <c r="L18" s="19">
        <f t="shared" si="0"/>
        <v>1.5</v>
      </c>
      <c r="M18" s="3" t="s">
        <v>126</v>
      </c>
      <c r="N18" s="3" t="s">
        <v>127</v>
      </c>
    </row>
    <row r="19" spans="1:14" ht="14" customHeight="1">
      <c r="A19" s="4" t="s">
        <v>128</v>
      </c>
      <c r="B19" s="4" t="s">
        <v>107</v>
      </c>
      <c r="C19" s="7">
        <f>SUM(三家明細!G105)</f>
        <v>1988.62</v>
      </c>
      <c r="D19" s="7">
        <f>三家明細!H105</f>
        <v>1631</v>
      </c>
      <c r="E19" s="7">
        <f>SUM(三家明細!I105)</f>
        <v>3243439</v>
      </c>
      <c r="F19" s="7">
        <f>SUM(三家明細!G321)</f>
        <v>2427</v>
      </c>
      <c r="G19" s="7">
        <f>三家明細!H321</f>
        <v>1380</v>
      </c>
      <c r="H19" s="7">
        <f>SUM(三家明細!I321)</f>
        <v>3349263</v>
      </c>
      <c r="I19" s="7">
        <f>SUM(三家明細!G512)</f>
        <v>1072.5</v>
      </c>
      <c r="J19" s="7">
        <f>三家明細!H512</f>
        <v>2450</v>
      </c>
      <c r="K19" s="7">
        <f>SUM(三家明細!I512)</f>
        <v>2627625</v>
      </c>
      <c r="L19" s="20">
        <f t="shared" si="0"/>
        <v>0.7753623188405796</v>
      </c>
      <c r="M19" s="4" t="s">
        <v>129</v>
      </c>
      <c r="N19" s="4" t="s">
        <v>130</v>
      </c>
    </row>
    <row r="20" spans="1:14" ht="14" customHeight="1">
      <c r="A20" s="3" t="s">
        <v>131</v>
      </c>
      <c r="B20" s="3" t="s">
        <v>107</v>
      </c>
      <c r="C20" s="6">
        <f>SUM(三家明細!G114)</f>
        <v>358.44</v>
      </c>
      <c r="D20" s="6">
        <f>三家明細!H114</f>
        <v>8000</v>
      </c>
      <c r="E20" s="6">
        <f>SUM(三家明細!I114)</f>
        <v>2867520</v>
      </c>
      <c r="F20" s="6">
        <f>SUM(三家明細!G322)</f>
        <v>362</v>
      </c>
      <c r="G20" s="6">
        <f>三家明細!H322</f>
        <v>7420</v>
      </c>
      <c r="H20" s="6">
        <f>SUM(三家明細!I322)</f>
        <v>2686040</v>
      </c>
      <c r="I20" s="6">
        <f>SUM(三家明細!G513)</f>
        <v>945</v>
      </c>
      <c r="J20" s="6">
        <f>三家明細!H513</f>
        <v>6500</v>
      </c>
      <c r="K20" s="6">
        <f>SUM(三家明細!I513)</f>
        <v>6142500</v>
      </c>
      <c r="L20" s="19">
        <f t="shared" si="0"/>
        <v>0.23076923076923084</v>
      </c>
      <c r="M20" s="3" t="s">
        <v>132</v>
      </c>
      <c r="N20" s="3" t="s">
        <v>133</v>
      </c>
    </row>
    <row r="21" spans="1:14" ht="14" customHeight="1">
      <c r="A21" s="4" t="s">
        <v>134</v>
      </c>
      <c r="B21" s="4" t="s">
        <v>107</v>
      </c>
      <c r="C21" s="7">
        <f>SUM(三家明細!G107)</f>
        <v>289.12</v>
      </c>
      <c r="D21" s="7">
        <f>三家明細!H107</f>
        <v>1910</v>
      </c>
      <c r="E21" s="7">
        <f>SUM(三家明細!I107)</f>
        <v>552219</v>
      </c>
      <c r="F21" s="7">
        <f>SUM(三家明細!G326)</f>
        <v>247</v>
      </c>
      <c r="G21" s="7">
        <f>三家明細!H326</f>
        <v>1970</v>
      </c>
      <c r="H21" s="7">
        <f>SUM(三家明細!I326)</f>
        <v>486590</v>
      </c>
      <c r="I21" s="7">
        <f>SUM(三家明細!G516)</f>
        <v>261.82</v>
      </c>
      <c r="J21" s="7">
        <f>三家明細!H516</f>
        <v>2100</v>
      </c>
      <c r="K21" s="7">
        <f>SUM(三家明細!I516)</f>
        <v>549822</v>
      </c>
      <c r="L21" s="20">
        <f t="shared" si="0"/>
        <v>9.9476439790575855E-2</v>
      </c>
      <c r="M21" s="4" t="s">
        <v>135</v>
      </c>
      <c r="N21" s="4" t="s">
        <v>136</v>
      </c>
    </row>
    <row r="22" spans="1:14" ht="14" customHeight="1">
      <c r="A22" s="3" t="s">
        <v>137</v>
      </c>
      <c r="B22" s="3" t="s">
        <v>107</v>
      </c>
      <c r="C22" s="6">
        <f>SUM(三家明細!G108)</f>
        <v>660.54</v>
      </c>
      <c r="D22" s="6">
        <f>三家明細!H108</f>
        <v>1480</v>
      </c>
      <c r="E22" s="6">
        <f>SUM(三家明細!I108)</f>
        <v>977599</v>
      </c>
      <c r="F22" s="6">
        <f>SUM(三家明細!G324)</f>
        <v>730</v>
      </c>
      <c r="G22" s="6">
        <f>三家明細!H324</f>
        <v>1580</v>
      </c>
      <c r="H22" s="6">
        <f>SUM(三家明細!I324)</f>
        <v>1153400</v>
      </c>
      <c r="I22" s="6">
        <f>SUM(三家明細!G517)</f>
        <v>334.89</v>
      </c>
      <c r="J22" s="6">
        <f>三家明細!H517</f>
        <v>1850</v>
      </c>
      <c r="K22" s="6">
        <f>SUM(三家明細!I517)</f>
        <v>619547</v>
      </c>
      <c r="L22" s="19">
        <f t="shared" si="0"/>
        <v>0.25</v>
      </c>
      <c r="M22" s="3" t="s">
        <v>138</v>
      </c>
      <c r="N22" s="3" t="s">
        <v>139</v>
      </c>
    </row>
    <row r="23" spans="1:14" ht="14" customHeight="1">
      <c r="A23" s="4" t="s">
        <v>140</v>
      </c>
      <c r="B23" s="4" t="s">
        <v>107</v>
      </c>
      <c r="C23" s="7">
        <f>SUM(三家明細!G100)</f>
        <v>1686.01</v>
      </c>
      <c r="D23" s="7">
        <f>三家明細!H100</f>
        <v>1800</v>
      </c>
      <c r="E23" s="7">
        <f>SUM(三家明細!I100)</f>
        <v>3034818</v>
      </c>
      <c r="F23" s="7">
        <f>SUM(三家明細!G296)</f>
        <v>1889</v>
      </c>
      <c r="G23" s="7">
        <f>三家明細!H296</f>
        <v>880</v>
      </c>
      <c r="H23" s="7">
        <f>SUM(三家明細!I296)</f>
        <v>1662322</v>
      </c>
      <c r="I23" s="7">
        <f>SUM(三家明細!G486)</f>
        <v>1457.26</v>
      </c>
      <c r="J23" s="7">
        <f>三家明細!H486</f>
        <v>750</v>
      </c>
      <c r="K23" s="7">
        <f>SUM(三家明細!I486)</f>
        <v>1092945</v>
      </c>
      <c r="L23" s="20">
        <f t="shared" si="0"/>
        <v>1.4</v>
      </c>
      <c r="M23" s="4" t="s">
        <v>141</v>
      </c>
      <c r="N23" s="4" t="s">
        <v>142</v>
      </c>
    </row>
    <row r="24" spans="1:14" ht="14" customHeight="1">
      <c r="A24" s="3" t="s">
        <v>143</v>
      </c>
      <c r="B24" s="3" t="s">
        <v>144</v>
      </c>
      <c r="C24" s="6" t="s">
        <v>25</v>
      </c>
      <c r="D24" s="6" t="s">
        <v>25</v>
      </c>
      <c r="E24" s="6" t="s">
        <v>25</v>
      </c>
      <c r="F24" s="6">
        <f>SUM(三家明細!G380)</f>
        <v>1</v>
      </c>
      <c r="G24" s="6">
        <f>三家明細!H380</f>
        <v>1243800</v>
      </c>
      <c r="H24" s="6">
        <f>SUM(三家明細!I380)</f>
        <v>1243800</v>
      </c>
      <c r="I24" s="6">
        <f>SUM(三家明細!G578)</f>
        <v>1</v>
      </c>
      <c r="J24" s="6">
        <f>三家明細!H578</f>
        <v>938000</v>
      </c>
      <c r="K24" s="6">
        <f>SUM(三家明細!I578)</f>
        <v>938000</v>
      </c>
      <c r="L24" s="19" t="str">
        <f t="shared" si="0"/>
        <v/>
      </c>
      <c r="M24" s="3" t="s">
        <v>145</v>
      </c>
      <c r="N24" s="3" t="s">
        <v>146</v>
      </c>
    </row>
    <row r="25" spans="1:14" ht="14" customHeight="1">
      <c r="A25" s="4" t="s">
        <v>147</v>
      </c>
      <c r="B25" s="4" t="s">
        <v>144</v>
      </c>
      <c r="C25" s="7" t="s">
        <v>25</v>
      </c>
      <c r="D25" s="7" t="s">
        <v>25</v>
      </c>
      <c r="E25" s="7" t="s">
        <v>25</v>
      </c>
      <c r="F25" s="7">
        <f>SUM(三家明細!G381)</f>
        <v>1</v>
      </c>
      <c r="G25" s="7">
        <f>三家明細!H381</f>
        <v>2448900</v>
      </c>
      <c r="H25" s="7">
        <f>SUM(三家明細!I381)</f>
        <v>2448900</v>
      </c>
      <c r="I25" s="7">
        <f>SUM(三家明細!G579)</f>
        <v>1</v>
      </c>
      <c r="J25" s="7">
        <f>三家明細!H579</f>
        <v>2580000</v>
      </c>
      <c r="K25" s="7">
        <f>SUM(三家明細!I579)</f>
        <v>2580000</v>
      </c>
      <c r="L25" s="20" t="str">
        <f t="shared" si="0"/>
        <v/>
      </c>
      <c r="M25" s="4" t="s">
        <v>148</v>
      </c>
      <c r="N25" s="4" t="s">
        <v>149</v>
      </c>
    </row>
    <row r="26" spans="1:14" ht="14" customHeight="1">
      <c r="A26" s="3" t="s">
        <v>150</v>
      </c>
      <c r="B26" s="3" t="s">
        <v>151</v>
      </c>
      <c r="C26" s="6">
        <f>SUM(三家明細!G214)</f>
        <v>2</v>
      </c>
      <c r="D26" s="6">
        <f>三家明細!H214</f>
        <v>60700</v>
      </c>
      <c r="E26" s="6">
        <f>SUM(三家明細!I214)</f>
        <v>121400</v>
      </c>
      <c r="F26" s="6">
        <f>SUM(三家明細!G409)</f>
        <v>2</v>
      </c>
      <c r="G26" s="6">
        <f>三家明細!H409</f>
        <v>64900</v>
      </c>
      <c r="H26" s="6">
        <f>SUM(三家明細!I409)</f>
        <v>129800</v>
      </c>
      <c r="I26" s="6">
        <f>SUM(三家明細!G580)</f>
        <v>2</v>
      </c>
      <c r="J26" s="6">
        <f>三家明細!H580</f>
        <v>150000</v>
      </c>
      <c r="K26" s="6">
        <f>SUM(三家明細!I580)</f>
        <v>300000</v>
      </c>
      <c r="L26" s="19">
        <f t="shared" si="0"/>
        <v>1.4711696869851729</v>
      </c>
      <c r="M26" s="3" t="s">
        <v>152</v>
      </c>
      <c r="N26" s="3" t="s">
        <v>153</v>
      </c>
    </row>
    <row r="27" spans="1:14" ht="14" customHeight="1">
      <c r="A27" s="4" t="s">
        <v>154</v>
      </c>
      <c r="B27" s="4" t="s">
        <v>107</v>
      </c>
      <c r="C27" s="7">
        <f>SUM(三家明細!G202)</f>
        <v>71.400000000000006</v>
      </c>
      <c r="D27" s="7">
        <f>三家明細!H202</f>
        <v>3000</v>
      </c>
      <c r="E27" s="7">
        <f>SUM(三家明細!I202)</f>
        <v>214200</v>
      </c>
      <c r="F27" s="7">
        <f>SUM(三家明細!G385)</f>
        <v>78</v>
      </c>
      <c r="G27" s="7">
        <f>三家明細!H385</f>
        <v>2400</v>
      </c>
      <c r="H27" s="7">
        <f>SUM(三家明細!I385)</f>
        <v>187200</v>
      </c>
      <c r="I27" s="7">
        <f>SUM(三家明細!G582)</f>
        <v>71.19</v>
      </c>
      <c r="J27" s="7">
        <f>三家明細!H582</f>
        <v>4000</v>
      </c>
      <c r="K27" s="7">
        <f>SUM(三家明細!I582)</f>
        <v>284760</v>
      </c>
      <c r="L27" s="20">
        <f t="shared" si="0"/>
        <v>0.66666666666666674</v>
      </c>
      <c r="M27" s="4" t="s">
        <v>155</v>
      </c>
      <c r="N27" s="4" t="s">
        <v>156</v>
      </c>
    </row>
    <row r="28" spans="1:14" ht="14" customHeight="1">
      <c r="A28" s="3" t="s">
        <v>157</v>
      </c>
      <c r="B28" s="3" t="s">
        <v>158</v>
      </c>
      <c r="C28" s="6">
        <f>SUM(三家明細!G203)</f>
        <v>9</v>
      </c>
      <c r="D28" s="6">
        <f>三家明細!H203</f>
        <v>1700</v>
      </c>
      <c r="E28" s="6">
        <f>SUM(三家明細!I203)</f>
        <v>15300</v>
      </c>
      <c r="F28" s="6">
        <f>SUM(三家明細!G386)</f>
        <v>9</v>
      </c>
      <c r="G28" s="6">
        <f>三家明細!H386</f>
        <v>2500</v>
      </c>
      <c r="H28" s="6">
        <f>SUM(三家明細!I386)</f>
        <v>22500</v>
      </c>
      <c r="I28" s="6">
        <f>SUM(三家明細!G583)</f>
        <v>6</v>
      </c>
      <c r="J28" s="6">
        <f>三家明細!H583</f>
        <v>1500</v>
      </c>
      <c r="K28" s="6">
        <f>SUM(三家明細!I583)</f>
        <v>9000</v>
      </c>
      <c r="L28" s="19">
        <f t="shared" si="0"/>
        <v>0.66666666666666674</v>
      </c>
      <c r="M28" s="3" t="s">
        <v>159</v>
      </c>
      <c r="N28" s="3" t="s">
        <v>160</v>
      </c>
    </row>
    <row r="29" spans="1:14" ht="14" customHeight="1">
      <c r="A29" s="4" t="s">
        <v>161</v>
      </c>
      <c r="B29" s="4" t="s">
        <v>162</v>
      </c>
      <c r="C29" s="7">
        <f>SUM(三家明細!G194)</f>
        <v>143.4</v>
      </c>
      <c r="D29" s="7">
        <f>三家明細!H194</f>
        <v>1600</v>
      </c>
      <c r="E29" s="7">
        <f>SUM(三家明細!I194)</f>
        <v>229440</v>
      </c>
      <c r="F29" s="7">
        <f>SUM(三家明細!G402)</f>
        <v>118</v>
      </c>
      <c r="G29" s="7">
        <f>三家明細!H402</f>
        <v>1500</v>
      </c>
      <c r="H29" s="7">
        <f>SUM(三家明細!I402)</f>
        <v>177000</v>
      </c>
      <c r="I29" s="7">
        <f>SUM(三家明細!G590,三家明細!G591)</f>
        <v>110.02000000000001</v>
      </c>
      <c r="J29" s="7">
        <f>(三家明細!G590*三家明細!H590+三家明細!G591*三家明細!H591)/I29</f>
        <v>4500</v>
      </c>
      <c r="K29" s="7">
        <f>SUM(三家明細!I590,三家明細!I591)</f>
        <v>495090</v>
      </c>
      <c r="L29" s="20">
        <f t="shared" si="0"/>
        <v>2</v>
      </c>
      <c r="M29" s="4" t="s">
        <v>163</v>
      </c>
      <c r="N29" s="4" t="s">
        <v>164</v>
      </c>
    </row>
    <row r="30" spans="1:14" ht="14" customHeight="1">
      <c r="A30" s="3" t="s">
        <v>165</v>
      </c>
      <c r="B30" s="3" t="s">
        <v>166</v>
      </c>
      <c r="C30" s="6">
        <f>SUM(三家明細!G156)</f>
        <v>1</v>
      </c>
      <c r="D30" s="6">
        <f>三家明細!H156</f>
        <v>163500</v>
      </c>
      <c r="E30" s="6">
        <f>SUM(三家明細!I156)</f>
        <v>163500</v>
      </c>
      <c r="F30" s="6">
        <f>SUM(三家明細!G357)</f>
        <v>1</v>
      </c>
      <c r="G30" s="6">
        <f>三家明細!H357</f>
        <v>121900</v>
      </c>
      <c r="H30" s="6">
        <f>SUM(三家明細!I357)</f>
        <v>121900</v>
      </c>
      <c r="I30" s="6">
        <f>SUM(三家明細!G543)</f>
        <v>1</v>
      </c>
      <c r="J30" s="6">
        <f>三家明細!H543</f>
        <v>118000</v>
      </c>
      <c r="K30" s="6">
        <f>SUM(三家明細!I543)</f>
        <v>118000</v>
      </c>
      <c r="L30" s="19">
        <f t="shared" si="0"/>
        <v>0.38559322033898313</v>
      </c>
      <c r="M30" s="3" t="s">
        <v>167</v>
      </c>
      <c r="N30" s="3" t="s">
        <v>168</v>
      </c>
    </row>
    <row r="31" spans="1:14" ht="14" customHeight="1">
      <c r="A31" s="4" t="s">
        <v>169</v>
      </c>
      <c r="B31" s="4" t="s">
        <v>166</v>
      </c>
      <c r="C31" s="7">
        <f>SUM(三家明細!G157)</f>
        <v>1</v>
      </c>
      <c r="D31" s="7">
        <f>三家明細!H157</f>
        <v>173500</v>
      </c>
      <c r="E31" s="7">
        <f>SUM(三家明細!I157)</f>
        <v>173500</v>
      </c>
      <c r="F31" s="7">
        <f>SUM(三家明細!G358)</f>
        <v>1</v>
      </c>
      <c r="G31" s="7">
        <f>三家明細!H358</f>
        <v>135700</v>
      </c>
      <c r="H31" s="7">
        <f>SUM(三家明細!I358)</f>
        <v>135700</v>
      </c>
      <c r="I31" s="7">
        <f>SUM(三家明細!G544)</f>
        <v>1</v>
      </c>
      <c r="J31" s="7">
        <f>三家明細!H544</f>
        <v>128000</v>
      </c>
      <c r="K31" s="7">
        <f>SUM(三家明細!I544)</f>
        <v>128000</v>
      </c>
      <c r="L31" s="20">
        <f t="shared" si="0"/>
        <v>0.35546875</v>
      </c>
      <c r="M31" s="4" t="s">
        <v>167</v>
      </c>
      <c r="N31" s="4" t="s">
        <v>170</v>
      </c>
    </row>
    <row r="32" spans="1:14" ht="14" customHeight="1">
      <c r="A32" s="3" t="s">
        <v>171</v>
      </c>
      <c r="B32" s="3" t="s">
        <v>166</v>
      </c>
      <c r="C32" s="6">
        <f>SUM(三家明細!G159)</f>
        <v>2</v>
      </c>
      <c r="D32" s="6">
        <f>三家明細!H159</f>
        <v>285000</v>
      </c>
      <c r="E32" s="6">
        <f>SUM(三家明細!I159)</f>
        <v>570000</v>
      </c>
      <c r="F32" s="6">
        <f>SUM(三家明細!G360)</f>
        <v>2</v>
      </c>
      <c r="G32" s="6">
        <f>三家明細!H360</f>
        <v>242600</v>
      </c>
      <c r="H32" s="6">
        <f>SUM(三家明細!I360)</f>
        <v>485200</v>
      </c>
      <c r="I32" s="6">
        <f>SUM(三家明細!G546)</f>
        <v>2</v>
      </c>
      <c r="J32" s="6">
        <f>三家明細!H546</f>
        <v>265000</v>
      </c>
      <c r="K32" s="6">
        <f>SUM(三家明細!I546)</f>
        <v>530000</v>
      </c>
      <c r="L32" s="19">
        <f t="shared" si="0"/>
        <v>0.1747732893652103</v>
      </c>
      <c r="M32" s="3" t="s">
        <v>172</v>
      </c>
      <c r="N32" s="3" t="s">
        <v>173</v>
      </c>
    </row>
    <row r="33" spans="1:14" ht="14" customHeight="1">
      <c r="A33" s="4" t="s">
        <v>174</v>
      </c>
      <c r="B33" s="4" t="s">
        <v>166</v>
      </c>
      <c r="C33" s="7">
        <f>SUM(三家明細!G126)</f>
        <v>4</v>
      </c>
      <c r="D33" s="7">
        <f>三家明細!H126</f>
        <v>10200</v>
      </c>
      <c r="E33" s="7">
        <f>SUM(三家明細!I126)</f>
        <v>40800</v>
      </c>
      <c r="F33" s="7">
        <f>SUM(三家明細!G335)</f>
        <v>4</v>
      </c>
      <c r="G33" s="7">
        <f>三家明細!H335</f>
        <v>16800</v>
      </c>
      <c r="H33" s="7">
        <f>SUM(三家明細!I335)</f>
        <v>67200</v>
      </c>
      <c r="I33" s="7">
        <f>SUM(三家明細!G522)</f>
        <v>4</v>
      </c>
      <c r="J33" s="7">
        <f>三家明細!H522</f>
        <v>4500</v>
      </c>
      <c r="K33" s="7">
        <f>SUM(三家明細!I522)</f>
        <v>18000</v>
      </c>
      <c r="L33" s="20">
        <f t="shared" si="0"/>
        <v>2.7333333333333334</v>
      </c>
      <c r="M33" s="4" t="s">
        <v>175</v>
      </c>
      <c r="N33" s="4" t="s">
        <v>176</v>
      </c>
    </row>
    <row r="34" spans="1:14" ht="14" customHeight="1">
      <c r="A34" s="3" t="s">
        <v>177</v>
      </c>
      <c r="B34" s="3" t="s">
        <v>166</v>
      </c>
      <c r="C34" s="6">
        <f>SUM(三家明細!G129)</f>
        <v>3</v>
      </c>
      <c r="D34" s="6">
        <f>三家明細!H129</f>
        <v>24300</v>
      </c>
      <c r="E34" s="6">
        <f>SUM(三家明細!I129)</f>
        <v>72900</v>
      </c>
      <c r="F34" s="6">
        <f>SUM(三家明細!G338)</f>
        <v>3</v>
      </c>
      <c r="G34" s="6">
        <f>三家明細!H338</f>
        <v>34600</v>
      </c>
      <c r="H34" s="6">
        <f>SUM(三家明細!I338)</f>
        <v>103800</v>
      </c>
      <c r="I34" s="6">
        <f>SUM(三家明細!G525)</f>
        <v>3</v>
      </c>
      <c r="J34" s="6">
        <f>三家明細!H525</f>
        <v>45000</v>
      </c>
      <c r="K34" s="6">
        <f>SUM(三家明細!I525)</f>
        <v>135000</v>
      </c>
      <c r="L34" s="19">
        <f t="shared" si="0"/>
        <v>0.85185185185185186</v>
      </c>
      <c r="M34" s="3" t="s">
        <v>178</v>
      </c>
      <c r="N34" s="3" t="s">
        <v>179</v>
      </c>
    </row>
    <row r="35" spans="1:14" ht="14" customHeight="1">
      <c r="A35" s="4" t="s">
        <v>180</v>
      </c>
      <c r="B35" s="4" t="s">
        <v>166</v>
      </c>
      <c r="C35" s="7">
        <f>SUM(三家明細!G162)</f>
        <v>23</v>
      </c>
      <c r="D35" s="7">
        <f>三家明細!H162</f>
        <v>9378</v>
      </c>
      <c r="E35" s="7">
        <f>SUM(三家明細!I162)</f>
        <v>215694</v>
      </c>
      <c r="F35" s="7">
        <f>SUM(三家明細!G363)</f>
        <v>23</v>
      </c>
      <c r="G35" s="7">
        <f>三家明細!H363</f>
        <v>12600</v>
      </c>
      <c r="H35" s="7">
        <f>SUM(三家明細!I363)</f>
        <v>289800</v>
      </c>
      <c r="I35" s="7">
        <f>SUM(三家明細!G548)</f>
        <v>27</v>
      </c>
      <c r="J35" s="7">
        <f>三家明細!H548</f>
        <v>14762</v>
      </c>
      <c r="K35" s="7">
        <f>SUM(三家明細!I548)</f>
        <v>398574</v>
      </c>
      <c r="L35" s="20">
        <f t="shared" si="0"/>
        <v>0.57410961825549167</v>
      </c>
      <c r="M35" s="4" t="s">
        <v>181</v>
      </c>
      <c r="N35" s="4" t="s">
        <v>182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65"/>
  <sheetViews>
    <sheetView showGridLines="0" zoomScale="111" workbookViewId="0">
      <pane ySplit="5" topLeftCell="A23" activePane="bottomLeft" state="frozen"/>
      <selection pane="bottomLeft" activeCell="E25" sqref="E25"/>
    </sheetView>
  </sheetViews>
  <sheetFormatPr baseColWidth="10" defaultColWidth="8.83203125" defaultRowHeight="14"/>
  <cols>
    <col min="1" max="1" width="29" customWidth="1"/>
    <col min="2" max="2" width="17" customWidth="1"/>
    <col min="3" max="6" width="20" customWidth="1"/>
    <col min="7" max="7" width="17" customWidth="1"/>
    <col min="8" max="8" width="90" customWidth="1"/>
  </cols>
  <sheetData>
    <row r="2" spans="1:8" ht="19.25" customHeight="1">
      <c r="A2" s="1" t="s">
        <v>183</v>
      </c>
    </row>
    <row r="3" spans="1:8" ht="14" customHeight="1">
      <c r="A3" s="14" t="s">
        <v>184</v>
      </c>
    </row>
    <row r="5" spans="1:8" ht="14" customHeight="1">
      <c r="A5" s="2" t="s">
        <v>185</v>
      </c>
      <c r="B5" s="2" t="s">
        <v>186</v>
      </c>
      <c r="C5" s="2" t="s">
        <v>187</v>
      </c>
      <c r="D5" s="2" t="s">
        <v>188</v>
      </c>
      <c r="E5" s="2" t="s">
        <v>189</v>
      </c>
      <c r="F5" s="2" t="s">
        <v>190</v>
      </c>
      <c r="G5" s="2" t="s">
        <v>191</v>
      </c>
      <c r="H5" s="2" t="s">
        <v>49</v>
      </c>
    </row>
    <row r="6" spans="1:8" ht="14" customHeight="1">
      <c r="A6" s="3" t="s">
        <v>86</v>
      </c>
      <c r="B6" s="3" t="s">
        <v>3</v>
      </c>
      <c r="C6" s="6">
        <f>IF(AND(ISNUMBER(單價與數量!C6),ISNUMBER(單價與數量!D6),ISNUMBER(單價與數量!F6),ISNUMBER(單價與數量!G6)),單價與數量!E6-單價與數量!H6,"")</f>
        <v>108027</v>
      </c>
      <c r="D6" s="6">
        <f>IF(AND(ISNUMBER(單價與數量!C6),ISNUMBER(單價與數量!D6),ISNUMBER(單價與數量!F6),ISNUMBER(單價與數量!G6)),(單價與數量!C6-單價與數量!F6)*單價與數量!G6,"")</f>
        <v>-147835.79999999999</v>
      </c>
      <c r="E6" s="6">
        <f>IF(AND(ISNUMBER(單價與數量!C6),ISNUMBER(單價與數量!D6),ISNUMBER(單價與數量!F6),ISNUMBER(單價與數量!G6)),單價與數量!C6*(單價與數量!D6-單價與數量!G6),"")</f>
        <v>255862.80000000002</v>
      </c>
      <c r="F6" s="6">
        <f t="shared" ref="F6:F37" si="0">IF(C6="","",C6-D6-E6)</f>
        <v>-2.9103830456733704E-11</v>
      </c>
      <c r="G6" s="6">
        <f t="shared" ref="G6:G37" si="1">IF(C6="","",C6-SUM(D6:F6))</f>
        <v>0</v>
      </c>
      <c r="H6" s="3" t="s">
        <v>88</v>
      </c>
    </row>
    <row r="7" spans="1:8" ht="14" customHeight="1">
      <c r="A7" s="4" t="s">
        <v>86</v>
      </c>
      <c r="B7" s="4" t="s">
        <v>5</v>
      </c>
      <c r="C7" s="7">
        <f>IF(AND(ISNUMBER(單價與數量!I6),ISNUMBER(單價與數量!J6),ISNUMBER(單價與數量!F6),ISNUMBER(單價與數量!G6)),單價與數量!K6-單價與數量!H6,"")</f>
        <v>746595</v>
      </c>
      <c r="D7" s="7">
        <f>IF(AND(ISNUMBER(單價與數量!I6),ISNUMBER(單價與數量!J6),ISNUMBER(單價與數量!F6),ISNUMBER(單價與數量!G6)),(單價與數量!I6-單價與數量!F6)*單價與數量!G6,"")</f>
        <v>679320</v>
      </c>
      <c r="E7" s="7">
        <f>IF(AND(ISNUMBER(單價與數量!I6),ISNUMBER(單價與數量!J6),ISNUMBER(單價與數量!F6),ISNUMBER(單價與數量!G6)),單價與數量!I6*(單價與數量!J6-單價與數量!G6),"")</f>
        <v>67275</v>
      </c>
      <c r="F7" s="7">
        <f t="shared" si="0"/>
        <v>0</v>
      </c>
      <c r="G7" s="7">
        <f t="shared" si="1"/>
        <v>0</v>
      </c>
      <c r="H7" s="4" t="s">
        <v>88</v>
      </c>
    </row>
    <row r="8" spans="1:8" ht="14" customHeight="1">
      <c r="A8" s="3" t="s">
        <v>90</v>
      </c>
      <c r="B8" s="3" t="s">
        <v>3</v>
      </c>
      <c r="C8" s="6">
        <f>IF(AND(ISNUMBER(單價與數量!C7),ISNUMBER(單價與數量!D7),ISNUMBER(單價與數量!F7),ISNUMBER(單價與數量!G7)),單價與數量!E7-單價與數量!H7,"")</f>
        <v>-106734</v>
      </c>
      <c r="D8" s="6">
        <f>IF(AND(ISNUMBER(單價與數量!C7),ISNUMBER(單價與數量!D7),ISNUMBER(單價與數量!F7),ISNUMBER(單價與數量!G7)),(單價與數量!C7-單價與數量!F7)*單價與數量!G7,"")</f>
        <v>-135163.59999999998</v>
      </c>
      <c r="E8" s="6">
        <f>IF(AND(ISNUMBER(單價與數量!C7),ISNUMBER(單價與數量!D7),ISNUMBER(單價與數量!F7),ISNUMBER(單價與數量!G7)),單價與數量!C7*(單價與數量!D7-單價與數量!G7),"")</f>
        <v>28429.200000000001</v>
      </c>
      <c r="F8" s="6">
        <f t="shared" si="0"/>
        <v>0.39999999997598934</v>
      </c>
      <c r="G8" s="6">
        <f t="shared" si="1"/>
        <v>0</v>
      </c>
      <c r="H8" s="3" t="s">
        <v>91</v>
      </c>
    </row>
    <row r="9" spans="1:8" ht="14" customHeight="1">
      <c r="A9" s="4" t="s">
        <v>90</v>
      </c>
      <c r="B9" s="4" t="s">
        <v>5</v>
      </c>
      <c r="C9" s="7">
        <f>IF(AND(ISNUMBER(單價與數量!I7),ISNUMBER(單價與數量!J7),ISNUMBER(單價與數量!F7),ISNUMBER(單價與數量!G7)),單價與數量!K7-單價與數量!H7,"")</f>
        <v>307790</v>
      </c>
      <c r="D9" s="7">
        <f>IF(AND(ISNUMBER(單價與數量!I7),ISNUMBER(單價與數量!J7),ISNUMBER(單價與數量!F7),ISNUMBER(單價與數量!G7)),(單價與數量!I7-單價與數量!F7)*單價與數量!G7,"")</f>
        <v>486540</v>
      </c>
      <c r="E9" s="7">
        <f>IF(AND(ISNUMBER(單價與數量!I7),ISNUMBER(單價與數量!J7),ISNUMBER(單價與數量!F7),ISNUMBER(單價與數量!G7)),單價與數量!I7*(單價與數量!J7-單價與數量!G7),"")</f>
        <v>-178750</v>
      </c>
      <c r="F9" s="7">
        <f t="shared" si="0"/>
        <v>0</v>
      </c>
      <c r="G9" s="7">
        <f t="shared" si="1"/>
        <v>0</v>
      </c>
      <c r="H9" s="4" t="s">
        <v>91</v>
      </c>
    </row>
    <row r="10" spans="1:8" ht="14" customHeight="1">
      <c r="A10" s="3" t="s">
        <v>93</v>
      </c>
      <c r="B10" s="3" t="s">
        <v>3</v>
      </c>
      <c r="C10" s="6">
        <f>IF(AND(ISNUMBER(單價與數量!C8),ISNUMBER(單價與數量!D8),ISNUMBER(單價與數量!F8),ISNUMBER(單價與數量!G8)),單價與數量!E8-單價與數量!H8,"")</f>
        <v>574959</v>
      </c>
      <c r="D10" s="6">
        <f>IF(AND(ISNUMBER(單價與數量!C8),ISNUMBER(單價與數量!D8),ISNUMBER(單價與數量!F8),ISNUMBER(單價與數量!G8)),(單價與數量!C8-單價與數量!F8)*單價與數量!G8,"")</f>
        <v>554914.50000000012</v>
      </c>
      <c r="E10" s="6">
        <f>IF(AND(ISNUMBER(單價與數量!C8),ISNUMBER(單價與數量!D8),ISNUMBER(單價與數量!F8),ISNUMBER(單價與數量!G8)),單價與數量!C8*(單價與數量!D8-單價與數量!G8),"")</f>
        <v>20044.5</v>
      </c>
      <c r="F10" s="6">
        <f t="shared" si="0"/>
        <v>-1.1641532182693481E-10</v>
      </c>
      <c r="G10" s="6">
        <f t="shared" si="1"/>
        <v>0</v>
      </c>
      <c r="H10" s="3" t="s">
        <v>94</v>
      </c>
    </row>
    <row r="11" spans="1:8" ht="14" customHeight="1">
      <c r="A11" s="4" t="s">
        <v>93</v>
      </c>
      <c r="B11" s="4" t="s">
        <v>5</v>
      </c>
      <c r="C11" s="7">
        <f>IF(AND(ISNUMBER(單價與數量!I8),ISNUMBER(單價與數量!J8),ISNUMBER(單價與數量!F8),ISNUMBER(單價與數量!G8)),單價與數量!K8-單價與數量!H8,"")</f>
        <v>1008090</v>
      </c>
      <c r="D11" s="7">
        <f>IF(AND(ISNUMBER(單價與數量!I8),ISNUMBER(單價與數量!J8),ISNUMBER(單價與數量!F8),ISNUMBER(單價與數量!G8)),(單價與數量!I8-單價與數量!F8)*單價與數量!G8,"")</f>
        <v>952840</v>
      </c>
      <c r="E11" s="7">
        <f>IF(AND(ISNUMBER(單價與數量!I8),ISNUMBER(單價與數量!J8),ISNUMBER(單價與數量!F8),ISNUMBER(單價與數量!G8)),單價與數量!I8*(單價與數量!J8-單價與數量!G8),"")</f>
        <v>55250</v>
      </c>
      <c r="F11" s="7">
        <f t="shared" si="0"/>
        <v>0</v>
      </c>
      <c r="G11" s="7">
        <f t="shared" si="1"/>
        <v>0</v>
      </c>
      <c r="H11" s="4" t="s">
        <v>94</v>
      </c>
    </row>
    <row r="12" spans="1:8" ht="14" customHeight="1">
      <c r="A12" s="3" t="s">
        <v>96</v>
      </c>
      <c r="B12" s="3" t="s">
        <v>3</v>
      </c>
      <c r="C12" s="6">
        <f>IF(AND(ISNUMBER(單價與數量!C9),ISNUMBER(單價與數量!D9),ISNUMBER(單價與數量!F9),ISNUMBER(單價與數量!G9)),單價與數量!E9-單價與數量!H9,"")</f>
        <v>658513</v>
      </c>
      <c r="D12" s="6">
        <f>IF(AND(ISNUMBER(單價與數量!C9),ISNUMBER(單價與數量!D9),ISNUMBER(單價與數量!F9),ISNUMBER(單價與數量!G9)),(單價與數量!C9-單價與數量!F9)*單價與數量!G9,"")</f>
        <v>576098.69999999937</v>
      </c>
      <c r="E12" s="6">
        <f>IF(AND(ISNUMBER(單價與數量!C9),ISNUMBER(單價與數量!D9),ISNUMBER(單價與數量!F9),ISNUMBER(單價與數量!G9)),單價與數量!C9*(單價與數量!D9-單價與數量!G9),"")</f>
        <v>82424.099999999991</v>
      </c>
      <c r="F12" s="6">
        <f t="shared" si="0"/>
        <v>-9.7999999993626261</v>
      </c>
      <c r="G12" s="6">
        <f t="shared" si="1"/>
        <v>0</v>
      </c>
      <c r="H12" s="3" t="s">
        <v>97</v>
      </c>
    </row>
    <row r="13" spans="1:8" ht="14" customHeight="1">
      <c r="A13" s="4" t="s">
        <v>96</v>
      </c>
      <c r="B13" s="4" t="s">
        <v>5</v>
      </c>
      <c r="C13" s="7">
        <f>IF(AND(ISNUMBER(單價與數量!I9),ISNUMBER(單價與數量!J9),ISNUMBER(單價與數量!F9),ISNUMBER(單價與數量!G9)),單價與數量!K9-單價與數量!H9,"")</f>
        <v>-1332540</v>
      </c>
      <c r="D13" s="7">
        <f>IF(AND(ISNUMBER(單價與數量!I9),ISNUMBER(單價與數量!J9),ISNUMBER(單價與數量!F9),ISNUMBER(單價與數量!G9)),(單價與數量!I9-單價與數量!F9)*單價與數量!G9,"")</f>
        <v>-2481330</v>
      </c>
      <c r="E13" s="7">
        <f>IF(AND(ISNUMBER(單價與數量!I9),ISNUMBER(單價與數量!J9),ISNUMBER(單價與數量!F9),ISNUMBER(單價與數量!G9)),單價與數量!I9*(單價與數量!J9-單價與數量!G9),"")</f>
        <v>1148800</v>
      </c>
      <c r="F13" s="7">
        <f t="shared" si="0"/>
        <v>-10</v>
      </c>
      <c r="G13" s="7">
        <f t="shared" si="1"/>
        <v>0</v>
      </c>
      <c r="H13" s="4" t="s">
        <v>97</v>
      </c>
    </row>
    <row r="14" spans="1:8" ht="14" customHeight="1">
      <c r="A14" s="3" t="s">
        <v>99</v>
      </c>
      <c r="B14" s="3" t="s">
        <v>3</v>
      </c>
      <c r="C14" s="6">
        <f>IF(AND(ISNUMBER(單價與數量!C10),ISNUMBER(單價與數量!D10),ISNUMBER(單價與數量!F10),ISNUMBER(單價與數量!G10)),單價與數量!E10-單價與數量!H10,"")</f>
        <v>167608</v>
      </c>
      <c r="D14" s="6">
        <f>IF(AND(ISNUMBER(單價與數量!C10),ISNUMBER(單價與數量!D10),ISNUMBER(單價與數量!F10),ISNUMBER(單價與數量!G10)),(單價與數量!C10-單價與數量!F10)*單價與數量!G10,"")</f>
        <v>206024.00000000003</v>
      </c>
      <c r="E14" s="6">
        <f>IF(AND(ISNUMBER(單價與數量!C10),ISNUMBER(單價與數量!D10),ISNUMBER(單價與數量!F10),ISNUMBER(單價與數量!G10)),單價與數量!C10*(單價與數量!D10-單價與數量!G10),"")</f>
        <v>-38416</v>
      </c>
      <c r="F14" s="6">
        <f t="shared" si="0"/>
        <v>-2.9103830456733704E-11</v>
      </c>
      <c r="G14" s="6">
        <f t="shared" si="1"/>
        <v>0</v>
      </c>
      <c r="H14" s="3" t="s">
        <v>101</v>
      </c>
    </row>
    <row r="15" spans="1:8" ht="14" customHeight="1">
      <c r="A15" s="4" t="s">
        <v>99</v>
      </c>
      <c r="B15" s="4" t="s">
        <v>5</v>
      </c>
      <c r="C15" s="7">
        <f>IF(AND(ISNUMBER(單價與數量!I10),ISNUMBER(單價與數量!J10),ISNUMBER(單價與數量!F10),ISNUMBER(單價與數量!G10)),單價與數量!K10-單價與數量!H10,"")</f>
        <v>16992892</v>
      </c>
      <c r="D15" s="7">
        <f>IF(AND(ISNUMBER(單價與數量!I10),ISNUMBER(單價與數量!J10),ISNUMBER(單價與數量!F10),ISNUMBER(單價與數量!G10)),(單價與數量!I10-單價與數量!F10)*單價與數量!G10,"")</f>
        <v>15826492</v>
      </c>
      <c r="E15" s="7">
        <f>IF(AND(ISNUMBER(單價與數量!I10),ISNUMBER(單價與數量!J10),ISNUMBER(單價與數量!F10),ISNUMBER(單價與數量!G10)),單價與數量!I10*(單價與數量!J10-單價與數量!G10),"")</f>
        <v>1166400</v>
      </c>
      <c r="F15" s="7">
        <f t="shared" si="0"/>
        <v>0</v>
      </c>
      <c r="G15" s="7">
        <f t="shared" si="1"/>
        <v>0</v>
      </c>
      <c r="H15" s="4" t="s">
        <v>101</v>
      </c>
    </row>
    <row r="16" spans="1:8" ht="14" customHeight="1">
      <c r="A16" s="3" t="s">
        <v>103</v>
      </c>
      <c r="B16" s="3" t="s">
        <v>3</v>
      </c>
      <c r="C16" s="6">
        <f>IF(AND(ISNUMBER(單價與數量!C11),ISNUMBER(單價與數量!D11),ISNUMBER(單價與數量!F11),ISNUMBER(單價與數量!G11)),單價與數量!E11-單價與數量!H11,"")</f>
        <v>1129565</v>
      </c>
      <c r="D16" s="6">
        <f>IF(AND(ISNUMBER(單價與數量!C11),ISNUMBER(單價與數量!D11),ISNUMBER(單價與數量!F11),ISNUMBER(單價與數量!G11)),(單價與數量!C11-單價與數量!F11)*單價與數量!G11,"")</f>
        <v>1255600</v>
      </c>
      <c r="E16" s="6">
        <f>IF(AND(ISNUMBER(單價與數量!C11),ISNUMBER(單價與數量!D11),ISNUMBER(單價與數量!F11),ISNUMBER(單價與數量!G11)),單價與數量!C11*(單價與數量!D11-單價與數量!G11),"")</f>
        <v>-126035</v>
      </c>
      <c r="F16" s="6">
        <f t="shared" si="0"/>
        <v>0</v>
      </c>
      <c r="G16" s="6">
        <f t="shared" si="1"/>
        <v>0</v>
      </c>
      <c r="H16" s="3" t="s">
        <v>104</v>
      </c>
    </row>
    <row r="17" spans="1:8" ht="14" customHeight="1">
      <c r="A17" s="4" t="s">
        <v>103</v>
      </c>
      <c r="B17" s="4" t="s">
        <v>5</v>
      </c>
      <c r="C17" s="7">
        <f>IF(AND(ISNUMBER(單價與數量!I11),ISNUMBER(單價與數量!J11),ISNUMBER(單價與數量!F11),ISNUMBER(單價與數量!G11)),單價與數量!K11-單價與數量!H11,"")</f>
        <v>4615156</v>
      </c>
      <c r="D17" s="7">
        <f>IF(AND(ISNUMBER(單價與數量!I11),ISNUMBER(單價與數量!J11),ISNUMBER(單價與數量!F11),ISNUMBER(單價與數量!G11)),(單價與數量!I11-單價與數量!F11)*單價與數量!G11,"")</f>
        <v>3677156</v>
      </c>
      <c r="E17" s="7">
        <f>IF(AND(ISNUMBER(單價與數量!I11),ISNUMBER(單價與數量!J11),ISNUMBER(單價與數量!F11),ISNUMBER(單價與數量!G11)),單價與數量!I11*(單價與數量!J11-單價與數量!G11),"")</f>
        <v>938000</v>
      </c>
      <c r="F17" s="7">
        <f t="shared" si="0"/>
        <v>0</v>
      </c>
      <c r="G17" s="7">
        <f t="shared" si="1"/>
        <v>0</v>
      </c>
      <c r="H17" s="4" t="s">
        <v>104</v>
      </c>
    </row>
    <row r="18" spans="1:8" ht="14" customHeight="1">
      <c r="A18" s="3" t="s">
        <v>106</v>
      </c>
      <c r="B18" s="3" t="s">
        <v>3</v>
      </c>
      <c r="C18" s="6">
        <f>IF(AND(ISNUMBER(單價與數量!C12),ISNUMBER(單價與數量!D12),ISNUMBER(單價與數量!F12),ISNUMBER(單價與數量!G12)),單價與數量!E12-單價與數量!H12,"")</f>
        <v>-1362022</v>
      </c>
      <c r="D18" s="6">
        <f>IF(AND(ISNUMBER(單價與數量!C12),ISNUMBER(單價與數量!D12),ISNUMBER(單價與數量!F12),ISNUMBER(單價與數量!G12)),(單價與數量!C12-單價與數量!F12)*單價與數量!G12,"")</f>
        <v>141979.50000000044</v>
      </c>
      <c r="E18" s="6">
        <f>IF(AND(ISNUMBER(單價與數量!C12),ISNUMBER(單價與數量!D12),ISNUMBER(單價與數量!F12),ISNUMBER(單價與數量!G12)),單價與數量!C12*(單價與數量!D12-單價與數量!G12),"")</f>
        <v>-1504002</v>
      </c>
      <c r="F18" s="6">
        <f t="shared" si="0"/>
        <v>0.49999999953433871</v>
      </c>
      <c r="G18" s="6">
        <f t="shared" si="1"/>
        <v>0</v>
      </c>
      <c r="H18" s="3" t="s">
        <v>108</v>
      </c>
    </row>
    <row r="19" spans="1:8" ht="14" customHeight="1">
      <c r="A19" s="4" t="s">
        <v>106</v>
      </c>
      <c r="B19" s="4" t="s">
        <v>5</v>
      </c>
      <c r="C19" s="7">
        <f>IF(AND(ISNUMBER(單價與數量!I12),ISNUMBER(單價與數量!J12),ISNUMBER(單價與數量!F12),ISNUMBER(單價與數量!G12)),單價與數量!K12-單價與數量!H12,"")</f>
        <v>2321210</v>
      </c>
      <c r="D19" s="7">
        <f>IF(AND(ISNUMBER(單價與數量!I12),ISNUMBER(單價與數量!J12),ISNUMBER(單價與數量!F12),ISNUMBER(單價與數量!G12)),(單價與數量!I12-單價與數量!F12)*單價與數量!G12,"")</f>
        <v>348660</v>
      </c>
      <c r="E19" s="7">
        <f>IF(AND(ISNUMBER(單價與數量!I12),ISNUMBER(單價與數量!J12),ISNUMBER(單價與數量!F12),ISNUMBER(單價與數量!G12)),單價與數量!I12*(單價與數量!J12-單價與數量!G12),"")</f>
        <v>1972550.0000000007</v>
      </c>
      <c r="F19" s="7">
        <f t="shared" si="0"/>
        <v>-6.9849193096160889E-10</v>
      </c>
      <c r="G19" s="7">
        <f t="shared" si="1"/>
        <v>0</v>
      </c>
      <c r="H19" s="4" t="s">
        <v>108</v>
      </c>
    </row>
    <row r="20" spans="1:8" ht="14" customHeight="1">
      <c r="A20" s="3" t="s">
        <v>110</v>
      </c>
      <c r="B20" s="3" t="s">
        <v>3</v>
      </c>
      <c r="C20" s="6">
        <f>IF(AND(ISNUMBER(單價與數量!C13),ISNUMBER(單價與數量!D13),ISNUMBER(單價與數量!F13),ISNUMBER(單價與數量!G13)),單價與數量!E13-單價與數量!H13,"")</f>
        <v>-1461628</v>
      </c>
      <c r="D20" s="6">
        <f>IF(AND(ISNUMBER(單價與數量!C13),ISNUMBER(單價與數量!D13),ISNUMBER(單價與數量!F13),ISNUMBER(單價與數量!G13)),(單價與數量!C13-單價與數量!F13)*單價與數量!G13,"")</f>
        <v>89056.800000000207</v>
      </c>
      <c r="E20" s="6">
        <f>IF(AND(ISNUMBER(單價與數量!C13),ISNUMBER(單價與數量!D13),ISNUMBER(單價與數量!F13),ISNUMBER(單價與數量!G13)),單價與數量!C13*(單價與數量!D13-單價與數量!G13),"")</f>
        <v>-1550684.6</v>
      </c>
      <c r="F20" s="6">
        <f t="shared" si="0"/>
        <v>-0.20000000018626451</v>
      </c>
      <c r="G20" s="6">
        <f t="shared" si="1"/>
        <v>0</v>
      </c>
      <c r="H20" s="3" t="s">
        <v>111</v>
      </c>
    </row>
    <row r="21" spans="1:8" ht="14" customHeight="1">
      <c r="A21" s="4" t="s">
        <v>110</v>
      </c>
      <c r="B21" s="4" t="s">
        <v>5</v>
      </c>
      <c r="C21" s="7">
        <f>IF(AND(ISNUMBER(單價與數量!I13),ISNUMBER(單價與數量!J13),ISNUMBER(單價與數量!F13),ISNUMBER(單價與數量!G13)),單價與數量!K13-單價與數量!H13,"")</f>
        <v>-28960</v>
      </c>
      <c r="D21" s="7">
        <f>IF(AND(ISNUMBER(單價與數量!I13),ISNUMBER(單價與數量!J13),ISNUMBER(單價與數量!F13),ISNUMBER(單價與數量!G13)),(單價與數量!I13-單價與數量!F13)*單價與數量!G13,"")</f>
        <v>88040</v>
      </c>
      <c r="E21" s="7">
        <f>IF(AND(ISNUMBER(單價與數量!I13),ISNUMBER(單價與數量!J13),ISNUMBER(單價與數量!F13),ISNUMBER(單價與數量!G13)),單價與數量!I13*(單價與數量!J13-單價與數量!G13),"")</f>
        <v>-117000</v>
      </c>
      <c r="F21" s="7">
        <f t="shared" si="0"/>
        <v>0</v>
      </c>
      <c r="G21" s="7">
        <f t="shared" si="1"/>
        <v>0</v>
      </c>
      <c r="H21" s="4" t="s">
        <v>111</v>
      </c>
    </row>
    <row r="22" spans="1:8" ht="14" customHeight="1">
      <c r="A22" s="3" t="s">
        <v>113</v>
      </c>
      <c r="B22" s="3" t="s">
        <v>3</v>
      </c>
      <c r="C22" s="6">
        <f>IF(AND(ISNUMBER(單價與數量!C14),ISNUMBER(單價與數量!D14),ISNUMBER(單價與數量!F14),ISNUMBER(單價與數量!G14)),單價與數量!E14-單價與數量!H14,"")</f>
        <v>-102801</v>
      </c>
      <c r="D22" s="6">
        <f>IF(AND(ISNUMBER(單價與數量!C14),ISNUMBER(單價與數量!D14),ISNUMBER(單價與數量!F14),ISNUMBER(單價與數量!G14)),(單價與數量!C14-單價與數量!F14)*單價與數量!G14,"")</f>
        <v>12209.399999999976</v>
      </c>
      <c r="E22" s="6">
        <f>IF(AND(ISNUMBER(單價與數量!C14),ISNUMBER(單價與數量!D14),ISNUMBER(單價與數量!F14),ISNUMBER(單價與數量!G14)),單價與數量!C14*(單價與數量!D14-單價與數量!G14),"")</f>
        <v>-115010.4</v>
      </c>
      <c r="F22" s="6">
        <f t="shared" si="0"/>
        <v>1.4551915228366852E-11</v>
      </c>
      <c r="G22" s="6">
        <f t="shared" si="1"/>
        <v>0</v>
      </c>
      <c r="H22" s="3" t="s">
        <v>114</v>
      </c>
    </row>
    <row r="23" spans="1:8" ht="14" customHeight="1">
      <c r="A23" s="4" t="s">
        <v>113</v>
      </c>
      <c r="B23" s="4" t="s">
        <v>5</v>
      </c>
      <c r="C23" s="7">
        <f>IF(AND(ISNUMBER(單價與數量!I14),ISNUMBER(單價與數量!J14),ISNUMBER(單價與數量!F14),ISNUMBER(單價與數量!G14)),單價與數量!K14-單價與數量!H14,"")</f>
        <v>610708</v>
      </c>
      <c r="D23" s="7">
        <f>IF(AND(ISNUMBER(單價與數量!I14),ISNUMBER(單價與數量!J14),ISNUMBER(單價與數量!F14),ISNUMBER(單價與數量!G14)),(單價與數量!I14-單價與數量!F14)*單價與數量!G14,"")</f>
        <v>152788.49999999997</v>
      </c>
      <c r="E23" s="7">
        <f>IF(AND(ISNUMBER(單價與數量!I14),ISNUMBER(單價與數量!J14),ISNUMBER(單價與數量!F14),ISNUMBER(單價與數量!G14)),單價與數量!I14*(單價與數量!J14-單價與數量!G14),"")</f>
        <v>457919</v>
      </c>
      <c r="F23" s="7">
        <f t="shared" si="0"/>
        <v>0.5</v>
      </c>
      <c r="G23" s="7">
        <f t="shared" si="1"/>
        <v>0</v>
      </c>
      <c r="H23" s="4" t="s">
        <v>114</v>
      </c>
    </row>
    <row r="24" spans="1:8" ht="14" customHeight="1">
      <c r="A24" s="3" t="s">
        <v>116</v>
      </c>
      <c r="B24" s="3" t="s">
        <v>3</v>
      </c>
      <c r="C24" s="6">
        <f>IF(AND(ISNUMBER(單價與數量!C15),ISNUMBER(單價與數量!D15),ISNUMBER(單價與數量!F15),ISNUMBER(單價與數量!G15)),單價與數量!E15-單價與數量!H15,"")</f>
        <v>-33750</v>
      </c>
      <c r="D24" s="6">
        <f>IF(AND(ISNUMBER(單價與數量!C15),ISNUMBER(單價與數量!D15),ISNUMBER(單價與數量!F15),ISNUMBER(單價與數量!G15)),(單價與數量!C15-單價與數量!F15)*單價與數量!G15,"")</f>
        <v>-65926.2</v>
      </c>
      <c r="E24" s="6">
        <f>IF(AND(ISNUMBER(單價與數量!C15),ISNUMBER(單價與數量!D15),ISNUMBER(單價與數量!F15),ISNUMBER(單價與數量!G15)),單價與數量!C15*(單價與數量!D15-單價與數量!G15),"")</f>
        <v>32175.9</v>
      </c>
      <c r="F24" s="6">
        <f t="shared" si="0"/>
        <v>0.29999999999563443</v>
      </c>
      <c r="G24" s="6">
        <f t="shared" si="1"/>
        <v>0</v>
      </c>
      <c r="H24" s="3" t="s">
        <v>117</v>
      </c>
    </row>
    <row r="25" spans="1:8" ht="14" customHeight="1">
      <c r="A25" s="4" t="s">
        <v>116</v>
      </c>
      <c r="B25" s="4" t="s">
        <v>5</v>
      </c>
      <c r="C25" s="7">
        <f>IF(AND(ISNUMBER(單價與數量!I15),ISNUMBER(單價與數量!J15),ISNUMBER(單價與數量!F15),ISNUMBER(單價與數量!G15)),單價與數量!K15-單價與數量!H15,"")</f>
        <v>227635</v>
      </c>
      <c r="D25" s="7">
        <f>IF(AND(ISNUMBER(單價與數量!I15),ISNUMBER(單價與數量!J15),ISNUMBER(單價與數量!F15),ISNUMBER(單價與數量!G15)),(單價與數量!I15-單價與數量!F15)*單價與數量!G15,"")</f>
        <v>-61913.4</v>
      </c>
      <c r="E25" s="7">
        <f>IF(AND(ISNUMBER(單價與數量!I15),ISNUMBER(單價與數量!J15),ISNUMBER(單價與數量!F15),ISNUMBER(單價與數量!G15)),單價與數量!I15*(單價與數量!J15-單價與數量!G15),"")</f>
        <v>289548.40000000002</v>
      </c>
      <c r="F25" s="7">
        <f t="shared" si="0"/>
        <v>0</v>
      </c>
      <c r="G25" s="7">
        <f t="shared" si="1"/>
        <v>-2.9103830456733704E-11</v>
      </c>
      <c r="H25" s="4" t="s">
        <v>117</v>
      </c>
    </row>
    <row r="26" spans="1:8" ht="14" customHeight="1">
      <c r="A26" s="3" t="s">
        <v>119</v>
      </c>
      <c r="B26" s="3" t="s">
        <v>3</v>
      </c>
      <c r="C26" s="6">
        <f>IF(AND(ISNUMBER(單價與數量!C16),ISNUMBER(單價與數量!D16),ISNUMBER(單價與數量!F16),ISNUMBER(單價與數量!G16)),單價與數量!E16-單價與數量!H16,"")</f>
        <v>-263662</v>
      </c>
      <c r="D26" s="6">
        <f>IF(AND(ISNUMBER(單價與數量!C16),ISNUMBER(單價與數量!D16),ISNUMBER(單價與數量!F16),ISNUMBER(單價與數量!G16)),(單價與數量!C16-單價與數量!F16)*單價與數量!G16,"")</f>
        <v>-552457.5</v>
      </c>
      <c r="E26" s="6">
        <f>IF(AND(ISNUMBER(單價與數量!C16),ISNUMBER(單價與數量!D16),ISNUMBER(單價與數量!F16),ISNUMBER(單價與數量!G16)),單價與數量!C16*(單價與數量!D16-單價與數量!G16),"")</f>
        <v>288795</v>
      </c>
      <c r="F26" s="6">
        <f t="shared" si="0"/>
        <v>0.5</v>
      </c>
      <c r="G26" s="6">
        <f t="shared" si="1"/>
        <v>0</v>
      </c>
      <c r="H26" s="3" t="s">
        <v>120</v>
      </c>
    </row>
    <row r="27" spans="1:8" ht="14" customHeight="1">
      <c r="A27" s="4" t="s">
        <v>119</v>
      </c>
      <c r="B27" s="4" t="s">
        <v>5</v>
      </c>
      <c r="C27" s="7">
        <f>IF(AND(ISNUMBER(單價與數量!I16),ISNUMBER(單價與數量!J16),ISNUMBER(單價與數量!F16),ISNUMBER(單價與數量!G16)),單價與數量!K16-單價與數量!H16,"")</f>
        <v>5901250</v>
      </c>
      <c r="D27" s="7">
        <f>IF(AND(ISNUMBER(單價與數量!I16),ISNUMBER(單價與數量!J16),ISNUMBER(單價與數量!F16),ISNUMBER(單價與數量!G16)),(單價與數量!I16-單價與數量!F16)*單價與數量!G16,"")</f>
        <v>1826887.9999999998</v>
      </c>
      <c r="E27" s="7">
        <f>IF(AND(ISNUMBER(單價與數量!I16),ISNUMBER(單價與數量!J16),ISNUMBER(單價與數量!F16),ISNUMBER(單價與數量!G16)),單價與數量!I16*(單價與數量!J16-單價與數量!G16),"")</f>
        <v>4074361.9999999995</v>
      </c>
      <c r="F27" s="7">
        <f t="shared" si="0"/>
        <v>4.6566128730773926E-10</v>
      </c>
      <c r="G27" s="7">
        <f t="shared" si="1"/>
        <v>0</v>
      </c>
      <c r="H27" s="4" t="s">
        <v>120</v>
      </c>
    </row>
    <row r="28" spans="1:8" ht="14" customHeight="1">
      <c r="A28" s="3" t="s">
        <v>122</v>
      </c>
      <c r="B28" s="3" t="s">
        <v>3</v>
      </c>
      <c r="C28" s="6">
        <f>IF(AND(ISNUMBER(單價與數量!C17),ISNUMBER(單價與數量!D17),ISNUMBER(單價與數量!F17),ISNUMBER(單價與數量!G17)),單價與數量!E17-單價與數量!H17,"")</f>
        <v>-321832</v>
      </c>
      <c r="D28" s="6">
        <f>IF(AND(ISNUMBER(單價與數量!C17),ISNUMBER(單價與數量!D17),ISNUMBER(單價與數量!F17),ISNUMBER(單價與數量!G17)),(單價與數量!C17-單價與數量!F17)*單價與數量!G17,"")</f>
        <v>-549125.50000000012</v>
      </c>
      <c r="E28" s="6">
        <f>IF(AND(ISNUMBER(單價與數量!C17),ISNUMBER(單價與數量!D17),ISNUMBER(單價與數量!F17),ISNUMBER(單價與數量!G17)),單價與數量!C17*(單價與數量!D17-單價與數量!G17),"")</f>
        <v>227293.19999999998</v>
      </c>
      <c r="F28" s="6">
        <f t="shared" si="0"/>
        <v>0.30000000013387762</v>
      </c>
      <c r="G28" s="6">
        <f t="shared" si="1"/>
        <v>0</v>
      </c>
      <c r="H28" s="3" t="s">
        <v>123</v>
      </c>
    </row>
    <row r="29" spans="1:8" ht="14" customHeight="1">
      <c r="A29" s="4" t="s">
        <v>122</v>
      </c>
      <c r="B29" s="4" t="s">
        <v>5</v>
      </c>
      <c r="C29" s="7">
        <f>IF(AND(ISNUMBER(單價與數量!I17),ISNUMBER(單價與數量!J17),ISNUMBER(單價與數量!F17),ISNUMBER(單價與數量!G17)),單價與數量!K17-單價與數量!H17,"")</f>
        <v>7074821</v>
      </c>
      <c r="D29" s="7">
        <f>IF(AND(ISNUMBER(單價與數量!I17),ISNUMBER(單價與數量!J17),ISNUMBER(單價與數量!F17),ISNUMBER(單價與數量!G17)),(單價與數量!I17-單價與數量!F17)*單價與數量!G17,"")</f>
        <v>2359503.2999999998</v>
      </c>
      <c r="E29" s="7">
        <f>IF(AND(ISNUMBER(單價與數量!I17),ISNUMBER(單價與數量!J17),ISNUMBER(單價與數量!F17),ISNUMBER(單價與數量!G17)),單價與數量!I17*(單價與數量!J17-單價與數量!G17),"")</f>
        <v>4715317.2</v>
      </c>
      <c r="F29" s="7">
        <f t="shared" si="0"/>
        <v>0.5</v>
      </c>
      <c r="G29" s="7">
        <f t="shared" si="1"/>
        <v>0</v>
      </c>
      <c r="H29" s="4" t="s">
        <v>123</v>
      </c>
    </row>
    <row r="30" spans="1:8" ht="14" customHeight="1">
      <c r="A30" s="3" t="s">
        <v>125</v>
      </c>
      <c r="B30" s="3" t="s">
        <v>3</v>
      </c>
      <c r="C30" s="6">
        <f>IF(AND(ISNUMBER(單價與數量!C18),ISNUMBER(單價與數量!D18),ISNUMBER(單價與數量!F18),ISNUMBER(單價與數量!G18)),單價與數量!E18-單價與數量!H18,"")</f>
        <v>275887</v>
      </c>
      <c r="D30" s="6">
        <f>IF(AND(ISNUMBER(單價與數量!C18),ISNUMBER(單價與數量!D18),ISNUMBER(單價與數量!F18),ISNUMBER(單價與數量!G18)),(單價與數量!C18-單價與數量!F18)*單價與數量!G18,"")</f>
        <v>7809.200000000028</v>
      </c>
      <c r="E30" s="6">
        <f>IF(AND(ISNUMBER(單價與數量!C18),ISNUMBER(單價與數量!D18),ISNUMBER(單價與數量!F18),ISNUMBER(單價與數量!G18)),單價與數量!C18*(單價與數量!D18-單價與數量!G18),"")</f>
        <v>268078</v>
      </c>
      <c r="F30" s="6">
        <f t="shared" si="0"/>
        <v>-0.20000000001164153</v>
      </c>
      <c r="G30" s="6">
        <f t="shared" si="1"/>
        <v>0</v>
      </c>
      <c r="H30" s="3" t="s">
        <v>126</v>
      </c>
    </row>
    <row r="31" spans="1:8" ht="14" customHeight="1">
      <c r="A31" s="4" t="s">
        <v>125</v>
      </c>
      <c r="B31" s="4" t="s">
        <v>5</v>
      </c>
      <c r="C31" s="7">
        <f>IF(AND(ISNUMBER(單價與數量!I18),ISNUMBER(單價與數量!J18),ISNUMBER(單價與數量!F18),ISNUMBER(單價與數量!G18)),單價與數量!K18-單價與數量!H18,"")</f>
        <v>502355</v>
      </c>
      <c r="D31" s="7">
        <f>IF(AND(ISNUMBER(單價與數量!I18),ISNUMBER(單價與數量!J18),ISNUMBER(單價與數量!F18),ISNUMBER(單價與數量!G18)),(單價與數量!I18-單價與數量!F18)*單價與數量!G18,"")</f>
        <v>-19557.999999999975</v>
      </c>
      <c r="E31" s="7">
        <f>IF(AND(ISNUMBER(單價與數量!I18),ISNUMBER(單價與數量!J18),ISNUMBER(單價與數量!F18),ISNUMBER(單價與數量!G18)),單價與數量!I18*(單價與數量!J18-單價與數量!G18),"")</f>
        <v>521913.00000000006</v>
      </c>
      <c r="F31" s="7">
        <f t="shared" si="0"/>
        <v>-5.8207660913467407E-11</v>
      </c>
      <c r="G31" s="7">
        <f t="shared" si="1"/>
        <v>0</v>
      </c>
      <c r="H31" s="4" t="s">
        <v>126</v>
      </c>
    </row>
    <row r="32" spans="1:8" ht="14" customHeight="1">
      <c r="A32" s="3" t="s">
        <v>128</v>
      </c>
      <c r="B32" s="3" t="s">
        <v>3</v>
      </c>
      <c r="C32" s="6">
        <f>IF(AND(ISNUMBER(單價與數量!C19),ISNUMBER(單價與數量!D19),ISNUMBER(單價與數量!F19),ISNUMBER(單價與數量!G19)),單價與數量!E19-單價與數量!H19,"")</f>
        <v>-105824</v>
      </c>
      <c r="D32" s="6">
        <f>IF(AND(ISNUMBER(單價與數量!C19),ISNUMBER(單價與數量!D19),ISNUMBER(單價與數量!F19),ISNUMBER(單價與數量!G19)),(單價與數量!C19-單價與數量!F19)*單價與數量!G19,"")</f>
        <v>-604964.40000000014</v>
      </c>
      <c r="E32" s="6">
        <f>IF(AND(ISNUMBER(單價與數量!C19),ISNUMBER(單價與數量!D19),ISNUMBER(單價與數量!F19),ISNUMBER(單價與數量!G19)),單價與數量!C19*(單價與數量!D19-單價與數量!G19),"")</f>
        <v>499143.62</v>
      </c>
      <c r="F32" s="6">
        <f t="shared" si="0"/>
        <v>-3.219999999855645</v>
      </c>
      <c r="G32" s="6">
        <f t="shared" si="1"/>
        <v>0</v>
      </c>
      <c r="H32" s="3" t="s">
        <v>129</v>
      </c>
    </row>
    <row r="33" spans="1:8" ht="14" customHeight="1">
      <c r="A33" s="4" t="s">
        <v>128</v>
      </c>
      <c r="B33" s="4" t="s">
        <v>5</v>
      </c>
      <c r="C33" s="7">
        <f>IF(AND(ISNUMBER(單價與數量!I19),ISNUMBER(單價與數量!J19),ISNUMBER(單價與數量!F19),ISNUMBER(單價與數量!G19)),單價與數量!K19-單價與數量!H19,"")</f>
        <v>-721638</v>
      </c>
      <c r="D33" s="7">
        <f>IF(AND(ISNUMBER(單價與數量!I19),ISNUMBER(單價與數量!J19),ISNUMBER(單價與數量!F19),ISNUMBER(單價與數量!G19)),(單價與數量!I19-單價與數量!F19)*單價與數量!G19,"")</f>
        <v>-1869210</v>
      </c>
      <c r="E33" s="7">
        <f>IF(AND(ISNUMBER(單價與數量!I19),ISNUMBER(單價與數量!J19),ISNUMBER(單價與數量!F19),ISNUMBER(單價與數量!G19)),單價與數量!I19*(單價與數量!J19-單價與數量!G19),"")</f>
        <v>1147575</v>
      </c>
      <c r="F33" s="7">
        <f t="shared" si="0"/>
        <v>-3</v>
      </c>
      <c r="G33" s="7">
        <f t="shared" si="1"/>
        <v>0</v>
      </c>
      <c r="H33" s="4" t="s">
        <v>129</v>
      </c>
    </row>
    <row r="34" spans="1:8" ht="14" customHeight="1">
      <c r="A34" s="3" t="s">
        <v>131</v>
      </c>
      <c r="B34" s="3" t="s">
        <v>3</v>
      </c>
      <c r="C34" s="6">
        <f>IF(AND(ISNUMBER(單價與數量!C20),ISNUMBER(單價與數量!D20),ISNUMBER(單價與數量!F20),ISNUMBER(單價與數量!G20)),單價與數量!E20-單價與數量!H20,"")</f>
        <v>181480</v>
      </c>
      <c r="D34" s="6">
        <f>IF(AND(ISNUMBER(單價與數量!C20),ISNUMBER(單價與數量!D20),ISNUMBER(單價與數量!F20),ISNUMBER(單價與數量!G20)),(單價與數量!C20-單價與數量!F20)*單價與數量!G20,"")</f>
        <v>-26415.200000000015</v>
      </c>
      <c r="E34" s="6">
        <f>IF(AND(ISNUMBER(單價與數量!C20),ISNUMBER(單價與數量!D20),ISNUMBER(單價與數量!F20),ISNUMBER(單價與數量!G20)),單價與數量!C20*(單價與數量!D20-單價與數量!G20),"")</f>
        <v>207895.2</v>
      </c>
      <c r="F34" s="6">
        <f t="shared" si="0"/>
        <v>0</v>
      </c>
      <c r="G34" s="6">
        <f t="shared" si="1"/>
        <v>0</v>
      </c>
      <c r="H34" s="3" t="s">
        <v>132</v>
      </c>
    </row>
    <row r="35" spans="1:8" ht="14" customHeight="1">
      <c r="A35" s="4" t="s">
        <v>131</v>
      </c>
      <c r="B35" s="4" t="s">
        <v>5</v>
      </c>
      <c r="C35" s="7">
        <f>IF(AND(ISNUMBER(單價與數量!I20),ISNUMBER(單價與數量!J20),ISNUMBER(單價與數量!F20),ISNUMBER(單價與數量!G20)),單價與數量!K20-單價與數量!H20,"")</f>
        <v>3456460</v>
      </c>
      <c r="D35" s="7">
        <f>IF(AND(ISNUMBER(單價與數量!I20),ISNUMBER(單價與數量!J20),ISNUMBER(單價與數量!F20),ISNUMBER(單價與數量!G20)),(單價與數量!I20-單價與數量!F20)*單價與數量!G20,"")</f>
        <v>4325860</v>
      </c>
      <c r="E35" s="7">
        <f>IF(AND(ISNUMBER(單價與數量!I20),ISNUMBER(單價與數量!J20),ISNUMBER(單價與數量!F20),ISNUMBER(單價與數量!G20)),單價與數量!I20*(單價與數量!J20-單價與數量!G20),"")</f>
        <v>-869400</v>
      </c>
      <c r="F35" s="7">
        <f t="shared" si="0"/>
        <v>0</v>
      </c>
      <c r="G35" s="7">
        <f t="shared" si="1"/>
        <v>0</v>
      </c>
      <c r="H35" s="4" t="s">
        <v>132</v>
      </c>
    </row>
    <row r="36" spans="1:8" ht="14" customHeight="1">
      <c r="A36" s="3" t="s">
        <v>134</v>
      </c>
      <c r="B36" s="3" t="s">
        <v>3</v>
      </c>
      <c r="C36" s="6">
        <f>IF(AND(ISNUMBER(單價與數量!C21),ISNUMBER(單價與數量!D21),ISNUMBER(單價與數量!F21),ISNUMBER(單價與數量!G21)),單價與數量!E21-單價與數量!H21,"")</f>
        <v>65629</v>
      </c>
      <c r="D36" s="6">
        <f>IF(AND(ISNUMBER(單價與數量!C21),ISNUMBER(單價與數量!D21),ISNUMBER(單價與數量!F21),ISNUMBER(單價與數量!G21)),(單價與數量!C21-單價與數量!F21)*單價與數量!G21,"")</f>
        <v>82976.400000000009</v>
      </c>
      <c r="E36" s="6">
        <f>IF(AND(ISNUMBER(單價與數量!C21),ISNUMBER(單價與數量!D21),ISNUMBER(單價與數量!F21),ISNUMBER(單價與數量!G21)),單價與數量!C21*(單價與數量!D21-單價與數量!G21),"")</f>
        <v>-17347.2</v>
      </c>
      <c r="F36" s="6">
        <f t="shared" si="0"/>
        <v>-0.20000000000800355</v>
      </c>
      <c r="G36" s="6">
        <f t="shared" si="1"/>
        <v>0</v>
      </c>
      <c r="H36" s="3" t="s">
        <v>135</v>
      </c>
    </row>
    <row r="37" spans="1:8" ht="14" customHeight="1">
      <c r="A37" s="4" t="s">
        <v>134</v>
      </c>
      <c r="B37" s="4" t="s">
        <v>5</v>
      </c>
      <c r="C37" s="7">
        <f>IF(AND(ISNUMBER(單價與數量!I21),ISNUMBER(單價與數量!J21),ISNUMBER(單價與數量!F21),ISNUMBER(單價與數量!G21)),單價與數量!K21-單價與數量!H21,"")</f>
        <v>63232</v>
      </c>
      <c r="D37" s="7">
        <f>IF(AND(ISNUMBER(單價與數量!I21),ISNUMBER(單價與數量!J21),ISNUMBER(單價與數量!F21),ISNUMBER(單價與數量!G21)),(單價與數量!I21-單價與數量!F21)*單價與數量!G21,"")</f>
        <v>29195.399999999987</v>
      </c>
      <c r="E37" s="7">
        <f>IF(AND(ISNUMBER(單價與數量!I21),ISNUMBER(單價與數量!J21),ISNUMBER(單價與數量!F21),ISNUMBER(單價與數量!G21)),單價與數量!I21*(單價與數量!J21-單價與數量!G21),"")</f>
        <v>34036.6</v>
      </c>
      <c r="F37" s="7">
        <f t="shared" si="0"/>
        <v>1.4551915228366852E-11</v>
      </c>
      <c r="G37" s="7">
        <f t="shared" si="1"/>
        <v>0</v>
      </c>
      <c r="H37" s="4" t="s">
        <v>135</v>
      </c>
    </row>
    <row r="38" spans="1:8" ht="14" customHeight="1">
      <c r="A38" s="3" t="s">
        <v>137</v>
      </c>
      <c r="B38" s="3" t="s">
        <v>3</v>
      </c>
      <c r="C38" s="6">
        <f>IF(AND(ISNUMBER(單價與數量!C22),ISNUMBER(單價與數量!D22),ISNUMBER(單價與數量!F22),ISNUMBER(單價與數量!G22)),單價與數量!E22-單價與數量!H22,"")</f>
        <v>-175801</v>
      </c>
      <c r="D38" s="6">
        <f>IF(AND(ISNUMBER(單價與數量!C22),ISNUMBER(單價與數量!D22),ISNUMBER(單價與數量!F22),ISNUMBER(單價與數量!G22)),(單價與數量!C22-單價與數量!F22)*單價與數量!G22,"")</f>
        <v>-109746.80000000006</v>
      </c>
      <c r="E38" s="6">
        <f>IF(AND(ISNUMBER(單價與數量!C22),ISNUMBER(單價與數量!D22),ISNUMBER(單價與數量!F22),ISNUMBER(單價與數量!G22)),單價與數量!C22*(單價與數量!D22-單價與數量!G22),"")</f>
        <v>-66054</v>
      </c>
      <c r="F38" s="6">
        <f t="shared" ref="F38:F65" si="2">IF(C38="","",C38-D38-E38)</f>
        <v>-0.19999999993888196</v>
      </c>
      <c r="G38" s="6">
        <f t="shared" ref="G38:G65" si="3">IF(C38="","",C38-SUM(D38:F38))</f>
        <v>0</v>
      </c>
      <c r="H38" s="3" t="s">
        <v>138</v>
      </c>
    </row>
    <row r="39" spans="1:8" ht="14" customHeight="1">
      <c r="A39" s="4" t="s">
        <v>137</v>
      </c>
      <c r="B39" s="4" t="s">
        <v>5</v>
      </c>
      <c r="C39" s="7">
        <f>IF(AND(ISNUMBER(單價與數量!I22),ISNUMBER(單價與數量!J22),ISNUMBER(單價與數量!F22),ISNUMBER(單價與數量!G22)),單價與數量!K22-單價與數量!H22,"")</f>
        <v>-533853</v>
      </c>
      <c r="D39" s="7">
        <f>IF(AND(ISNUMBER(單價與數量!I22),ISNUMBER(單價與數量!J22),ISNUMBER(單價與數量!F22),ISNUMBER(單價與數量!G22)),(單價與數量!I22-單價與數量!F22)*單價與數量!G22,"")</f>
        <v>-624273.80000000005</v>
      </c>
      <c r="E39" s="7">
        <f>IF(AND(ISNUMBER(單價與數量!I22),ISNUMBER(單價與數量!J22),ISNUMBER(單價與數量!F22),ISNUMBER(單價與數量!G22)),單價與數量!I22*(單價與數量!J22-單價與數量!G22),"")</f>
        <v>90420.3</v>
      </c>
      <c r="F39" s="7">
        <f t="shared" si="2"/>
        <v>0.50000000004365575</v>
      </c>
      <c r="G39" s="7">
        <f t="shared" si="3"/>
        <v>0</v>
      </c>
      <c r="H39" s="4" t="s">
        <v>138</v>
      </c>
    </row>
    <row r="40" spans="1:8" ht="14" customHeight="1">
      <c r="A40" s="3" t="s">
        <v>140</v>
      </c>
      <c r="B40" s="3" t="s">
        <v>3</v>
      </c>
      <c r="C40" s="6">
        <f>IF(AND(ISNUMBER(單價與數量!C23),ISNUMBER(單價與數量!D23),ISNUMBER(單價與數量!F23),ISNUMBER(單價與數量!G23)),單價與數量!E23-單價與數量!H23,"")</f>
        <v>1372496</v>
      </c>
      <c r="D40" s="6">
        <f>IF(AND(ISNUMBER(單價與數量!C23),ISNUMBER(單價與數量!D23),ISNUMBER(單價與數量!F23),ISNUMBER(單價與數量!G23)),(單價與數量!C23-單價與數量!F23)*單價與數量!G23,"")</f>
        <v>-178631.2</v>
      </c>
      <c r="E40" s="6">
        <f>IF(AND(ISNUMBER(單價與數量!C23),ISNUMBER(單價與數量!D23),ISNUMBER(單價與數量!F23),ISNUMBER(單價與數量!G23)),單價與數量!C23*(單價與數量!D23-單價與數量!G23),"")</f>
        <v>1551129.2</v>
      </c>
      <c r="F40" s="6">
        <f t="shared" si="2"/>
        <v>-2</v>
      </c>
      <c r="G40" s="6">
        <f t="shared" si="3"/>
        <v>0</v>
      </c>
      <c r="H40" s="3" t="s">
        <v>141</v>
      </c>
    </row>
    <row r="41" spans="1:8" ht="14" customHeight="1">
      <c r="A41" s="4" t="s">
        <v>140</v>
      </c>
      <c r="B41" s="4" t="s">
        <v>5</v>
      </c>
      <c r="C41" s="7">
        <f>IF(AND(ISNUMBER(單價與數量!I23),ISNUMBER(單價與數量!J23),ISNUMBER(單價與數量!F23),ISNUMBER(單價與數量!G23)),單價與數量!K23-單價與數量!H23,"")</f>
        <v>-569377</v>
      </c>
      <c r="D41" s="7">
        <f>IF(AND(ISNUMBER(單價與數量!I23),ISNUMBER(單價與數量!J23),ISNUMBER(單價與數量!F23),ISNUMBER(單價與數量!G23)),(單價與數量!I23-單價與數量!F23)*單價與數量!G23,"")</f>
        <v>-379931.2</v>
      </c>
      <c r="E41" s="7">
        <f>IF(AND(ISNUMBER(單價與數量!I23),ISNUMBER(單價與數量!J23),ISNUMBER(單價與數量!F23),ISNUMBER(單價與數量!G23)),單價與數量!I23*(單價與數量!J23-單價與數量!G23),"")</f>
        <v>-189443.8</v>
      </c>
      <c r="F41" s="7">
        <f t="shared" si="2"/>
        <v>-2</v>
      </c>
      <c r="G41" s="7">
        <f t="shared" si="3"/>
        <v>0</v>
      </c>
      <c r="H41" s="4" t="s">
        <v>141</v>
      </c>
    </row>
    <row r="42" spans="1:8" ht="14" customHeight="1">
      <c r="A42" s="3" t="s">
        <v>143</v>
      </c>
      <c r="B42" s="3" t="s">
        <v>3</v>
      </c>
      <c r="C42" s="6" t="str">
        <f>IF(AND(ISNUMBER(單價與數量!C24),ISNUMBER(單價與數量!D24),ISNUMBER(單價與數量!F24),ISNUMBER(單價與數量!G24)),單價與數量!E24-單價與數量!H24,"")</f>
        <v/>
      </c>
      <c r="D42" s="6" t="str">
        <f>IF(AND(ISNUMBER(單價與數量!C24),ISNUMBER(單價與數量!D24),ISNUMBER(單價與數量!F24),ISNUMBER(單價與數量!G24)),(單價與數量!C24-單價與數量!F24)*單價與數量!G24,"")</f>
        <v/>
      </c>
      <c r="E42" s="6" t="str">
        <f>IF(AND(ISNUMBER(單價與數量!C24),ISNUMBER(單價與數量!D24),ISNUMBER(單價與數量!F24),ISNUMBER(單價與數量!G24)),單價與數量!C24*(單價與數量!D24-單價與數量!G24),"")</f>
        <v/>
      </c>
      <c r="F42" s="6" t="str">
        <f t="shared" si="2"/>
        <v/>
      </c>
      <c r="G42" s="6" t="str">
        <f t="shared" si="3"/>
        <v/>
      </c>
      <c r="H42" s="3" t="s">
        <v>145</v>
      </c>
    </row>
    <row r="43" spans="1:8" ht="14" customHeight="1">
      <c r="A43" s="4" t="s">
        <v>143</v>
      </c>
      <c r="B43" s="4" t="s">
        <v>5</v>
      </c>
      <c r="C43" s="7">
        <f>IF(AND(ISNUMBER(單價與數量!I24),ISNUMBER(單價與數量!J24),ISNUMBER(單價與數量!F24),ISNUMBER(單價與數量!G24)),單價與數量!K24-單價與數量!H24,"")</f>
        <v>-305800</v>
      </c>
      <c r="D43" s="7">
        <f>IF(AND(ISNUMBER(單價與數量!I24),ISNUMBER(單價與數量!J24),ISNUMBER(單價與數量!F24),ISNUMBER(單價與數量!G24)),(單價與數量!I24-單價與數量!F24)*單價與數量!G24,"")</f>
        <v>0</v>
      </c>
      <c r="E43" s="7">
        <f>IF(AND(ISNUMBER(單價與數量!I24),ISNUMBER(單價與數量!J24),ISNUMBER(單價與數量!F24),ISNUMBER(單價與數量!G24)),單價與數量!I24*(單價與數量!J24-單價與數量!G24),"")</f>
        <v>-305800</v>
      </c>
      <c r="F43" s="7">
        <f t="shared" si="2"/>
        <v>0</v>
      </c>
      <c r="G43" s="7">
        <f t="shared" si="3"/>
        <v>0</v>
      </c>
      <c r="H43" s="4" t="s">
        <v>145</v>
      </c>
    </row>
    <row r="44" spans="1:8" ht="14" customHeight="1">
      <c r="A44" s="3" t="s">
        <v>147</v>
      </c>
      <c r="B44" s="3" t="s">
        <v>3</v>
      </c>
      <c r="C44" s="6" t="str">
        <f>IF(AND(ISNUMBER(單價與數量!C25),ISNUMBER(單價與數量!D25),ISNUMBER(單價與數量!F25),ISNUMBER(單價與數量!G25)),單價與數量!E25-單價與數量!H25,"")</f>
        <v/>
      </c>
      <c r="D44" s="6" t="str">
        <f>IF(AND(ISNUMBER(單價與數量!C25),ISNUMBER(單價與數量!D25),ISNUMBER(單價與數量!F25),ISNUMBER(單價與數量!G25)),(單價與數量!C25-單價與數量!F25)*單價與數量!G25,"")</f>
        <v/>
      </c>
      <c r="E44" s="6" t="str">
        <f>IF(AND(ISNUMBER(單價與數量!C25),ISNUMBER(單價與數量!D25),ISNUMBER(單價與數量!F25),ISNUMBER(單價與數量!G25)),單價與數量!C25*(單價與數量!D25-單價與數量!G25),"")</f>
        <v/>
      </c>
      <c r="F44" s="6" t="str">
        <f t="shared" si="2"/>
        <v/>
      </c>
      <c r="G44" s="6" t="str">
        <f t="shared" si="3"/>
        <v/>
      </c>
      <c r="H44" s="3" t="s">
        <v>148</v>
      </c>
    </row>
    <row r="45" spans="1:8" ht="14" customHeight="1">
      <c r="A45" s="4" t="s">
        <v>147</v>
      </c>
      <c r="B45" s="4" t="s">
        <v>5</v>
      </c>
      <c r="C45" s="7">
        <f>IF(AND(ISNUMBER(單價與數量!I25),ISNUMBER(單價與數量!J25),ISNUMBER(單價與數量!F25),ISNUMBER(單價與數量!G25)),單價與數量!K25-單價與數量!H25,"")</f>
        <v>131100</v>
      </c>
      <c r="D45" s="7">
        <f>IF(AND(ISNUMBER(單價與數量!I25),ISNUMBER(單價與數量!J25),ISNUMBER(單價與數量!F25),ISNUMBER(單價與數量!G25)),(單價與數量!I25-單價與數量!F25)*單價與數量!G25,"")</f>
        <v>0</v>
      </c>
      <c r="E45" s="7">
        <f>IF(AND(ISNUMBER(單價與數量!I25),ISNUMBER(單價與數量!J25),ISNUMBER(單價與數量!F25),ISNUMBER(單價與數量!G25)),單價與數量!I25*(單價與數量!J25-單價與數量!G25),"")</f>
        <v>131100</v>
      </c>
      <c r="F45" s="7">
        <f t="shared" si="2"/>
        <v>0</v>
      </c>
      <c r="G45" s="7">
        <f t="shared" si="3"/>
        <v>0</v>
      </c>
      <c r="H45" s="4" t="s">
        <v>148</v>
      </c>
    </row>
    <row r="46" spans="1:8" ht="14" customHeight="1">
      <c r="A46" s="3" t="s">
        <v>150</v>
      </c>
      <c r="B46" s="3" t="s">
        <v>3</v>
      </c>
      <c r="C46" s="6">
        <f>IF(AND(ISNUMBER(單價與數量!C26),ISNUMBER(單價與數量!D26),ISNUMBER(單價與數量!F26),ISNUMBER(單價與數量!G26)),單價與數量!E26-單價與數量!H26,"")</f>
        <v>-8400</v>
      </c>
      <c r="D46" s="6">
        <f>IF(AND(ISNUMBER(單價與數量!C26),ISNUMBER(單價與數量!D26),ISNUMBER(單價與數量!F26),ISNUMBER(單價與數量!G26)),(單價與數量!C26-單價與數量!F26)*單價與數量!G26,"")</f>
        <v>0</v>
      </c>
      <c r="E46" s="6">
        <f>IF(AND(ISNUMBER(單價與數量!C26),ISNUMBER(單價與數量!D26),ISNUMBER(單價與數量!F26),ISNUMBER(單價與數量!G26)),單價與數量!C26*(單價與數量!D26-單價與數量!G26),"")</f>
        <v>-8400</v>
      </c>
      <c r="F46" s="6">
        <f t="shared" si="2"/>
        <v>0</v>
      </c>
      <c r="G46" s="6">
        <f t="shared" si="3"/>
        <v>0</v>
      </c>
      <c r="H46" s="3" t="s">
        <v>152</v>
      </c>
    </row>
    <row r="47" spans="1:8" ht="14" customHeight="1">
      <c r="A47" s="4" t="s">
        <v>150</v>
      </c>
      <c r="B47" s="4" t="s">
        <v>5</v>
      </c>
      <c r="C47" s="7">
        <f>IF(AND(ISNUMBER(單價與數量!I26),ISNUMBER(單價與數量!J26),ISNUMBER(單價與數量!F26),ISNUMBER(單價與數量!G26)),單價與數量!K26-單價與數量!H26,"")</f>
        <v>170200</v>
      </c>
      <c r="D47" s="7">
        <f>IF(AND(ISNUMBER(單價與數量!I26),ISNUMBER(單價與數量!J26),ISNUMBER(單價與數量!F26),ISNUMBER(單價與數量!G26)),(單價與數量!I26-單價與數量!F26)*單價與數量!G26,"")</f>
        <v>0</v>
      </c>
      <c r="E47" s="7">
        <f>IF(AND(ISNUMBER(單價與數量!I26),ISNUMBER(單價與數量!J26),ISNUMBER(單價與數量!F26),ISNUMBER(單價與數量!G26)),單價與數量!I26*(單價與數量!J26-單價與數量!G26),"")</f>
        <v>170200</v>
      </c>
      <c r="F47" s="7">
        <f t="shared" si="2"/>
        <v>0</v>
      </c>
      <c r="G47" s="7">
        <f t="shared" si="3"/>
        <v>0</v>
      </c>
      <c r="H47" s="4" t="s">
        <v>152</v>
      </c>
    </row>
    <row r="48" spans="1:8" ht="14" customHeight="1">
      <c r="A48" s="3" t="s">
        <v>154</v>
      </c>
      <c r="B48" s="3" t="s">
        <v>3</v>
      </c>
      <c r="C48" s="6">
        <f>IF(AND(ISNUMBER(單價與數量!C27),ISNUMBER(單價與數量!D27),ISNUMBER(單價與數量!F27),ISNUMBER(單價與數量!G27)),單價與數量!E27-單價與數量!H27,"")</f>
        <v>27000</v>
      </c>
      <c r="D48" s="6">
        <f>IF(AND(ISNUMBER(單價與數量!C27),ISNUMBER(單價與數量!D27),ISNUMBER(單價與數量!F27),ISNUMBER(單價與數量!G27)),(單價與數量!C27-單價與數量!F27)*單價與數量!G27,"")</f>
        <v>-15839.999999999985</v>
      </c>
      <c r="E48" s="6">
        <f>IF(AND(ISNUMBER(單價與數量!C27),ISNUMBER(單價與數量!D27),ISNUMBER(單價與數量!F27),ISNUMBER(單價與數量!G27)),單價與數量!C27*(單價與數量!D27-單價與數量!G27),"")</f>
        <v>42840</v>
      </c>
      <c r="F48" s="6">
        <f t="shared" si="2"/>
        <v>-1.4551915228366852E-11</v>
      </c>
      <c r="G48" s="6">
        <f t="shared" si="3"/>
        <v>0</v>
      </c>
      <c r="H48" s="3" t="s">
        <v>155</v>
      </c>
    </row>
    <row r="49" spans="1:8" ht="14" customHeight="1">
      <c r="A49" s="4" t="s">
        <v>154</v>
      </c>
      <c r="B49" s="4" t="s">
        <v>5</v>
      </c>
      <c r="C49" s="7">
        <f>IF(AND(ISNUMBER(單價與數量!I27),ISNUMBER(單價與數量!J27),ISNUMBER(單價與數量!F27),ISNUMBER(單價與數量!G27)),單價與數量!K27-單價與數量!H27,"")</f>
        <v>97560</v>
      </c>
      <c r="D49" s="7">
        <f>IF(AND(ISNUMBER(單價與數量!I27),ISNUMBER(單價與數量!J27),ISNUMBER(單價與數量!F27),ISNUMBER(單價與數量!G27)),(單價與數量!I27-單價與數量!F27)*單價與數量!G27,"")</f>
        <v>-16344.000000000005</v>
      </c>
      <c r="E49" s="7">
        <f>IF(AND(ISNUMBER(單價與數量!I27),ISNUMBER(單價與數量!J27),ISNUMBER(單價與數量!F27),ISNUMBER(單價與數量!G27)),單價與數量!I27*(單價與數量!J27-單價與數量!G27),"")</f>
        <v>113904</v>
      </c>
      <c r="F49" s="7">
        <f t="shared" si="2"/>
        <v>0</v>
      </c>
      <c r="G49" s="7">
        <f t="shared" si="3"/>
        <v>0</v>
      </c>
      <c r="H49" s="4" t="s">
        <v>155</v>
      </c>
    </row>
    <row r="50" spans="1:8" ht="14" customHeight="1">
      <c r="A50" s="3" t="s">
        <v>157</v>
      </c>
      <c r="B50" s="3" t="s">
        <v>3</v>
      </c>
      <c r="C50" s="6">
        <f>IF(AND(ISNUMBER(單價與數量!C28),ISNUMBER(單價與數量!D28),ISNUMBER(單價與數量!F28),ISNUMBER(單價與數量!G28)),單價與數量!E28-單價與數量!H28,"")</f>
        <v>-7200</v>
      </c>
      <c r="D50" s="6">
        <f>IF(AND(ISNUMBER(單價與數量!C28),ISNUMBER(單價與數量!D28),ISNUMBER(單價與數量!F28),ISNUMBER(單價與數量!G28)),(單價與數量!C28-單價與數量!F28)*單價與數量!G28,"")</f>
        <v>0</v>
      </c>
      <c r="E50" s="6">
        <f>IF(AND(ISNUMBER(單價與數量!C28),ISNUMBER(單價與數量!D28),ISNUMBER(單價與數量!F28),ISNUMBER(單價與數量!G28)),單價與數量!C28*(單價與數量!D28-單價與數量!G28),"")</f>
        <v>-7200</v>
      </c>
      <c r="F50" s="6">
        <f t="shared" si="2"/>
        <v>0</v>
      </c>
      <c r="G50" s="6">
        <f t="shared" si="3"/>
        <v>0</v>
      </c>
      <c r="H50" s="3" t="s">
        <v>159</v>
      </c>
    </row>
    <row r="51" spans="1:8" ht="14" customHeight="1">
      <c r="A51" s="4" t="s">
        <v>157</v>
      </c>
      <c r="B51" s="4" t="s">
        <v>5</v>
      </c>
      <c r="C51" s="7">
        <f>IF(AND(ISNUMBER(單價與數量!I28),ISNUMBER(單價與數量!J28),ISNUMBER(單價與數量!F28),ISNUMBER(單價與數量!G28)),單價與數量!K28-單價與數量!H28,"")</f>
        <v>-13500</v>
      </c>
      <c r="D51" s="7">
        <f>IF(AND(ISNUMBER(單價與數量!I28),ISNUMBER(單價與數量!J28),ISNUMBER(單價與數量!F28),ISNUMBER(單價與數量!G28)),(單價與數量!I28-單價與數量!F28)*單價與數量!G28,"")</f>
        <v>-7500</v>
      </c>
      <c r="E51" s="7">
        <f>IF(AND(ISNUMBER(單價與數量!I28),ISNUMBER(單價與數量!J28),ISNUMBER(單價與數量!F28),ISNUMBER(單價與數量!G28)),單價與數量!I28*(單價與數量!J28-單價與數量!G28),"")</f>
        <v>-6000</v>
      </c>
      <c r="F51" s="7">
        <f t="shared" si="2"/>
        <v>0</v>
      </c>
      <c r="G51" s="7">
        <f t="shared" si="3"/>
        <v>0</v>
      </c>
      <c r="H51" s="4" t="s">
        <v>159</v>
      </c>
    </row>
    <row r="52" spans="1:8" ht="14" customHeight="1">
      <c r="A52" s="3" t="s">
        <v>161</v>
      </c>
      <c r="B52" s="3" t="s">
        <v>3</v>
      </c>
      <c r="C52" s="6">
        <f>IF(AND(ISNUMBER(單價與數量!C29),ISNUMBER(單價與數量!D29),ISNUMBER(單價與數量!F29),ISNUMBER(單價與數量!G29)),單價與數量!E29-單價與數量!H29,"")</f>
        <v>52440</v>
      </c>
      <c r="D52" s="6">
        <f>IF(AND(ISNUMBER(單價與數量!C29),ISNUMBER(單價與數量!D29),ISNUMBER(單價與數量!F29),ISNUMBER(單價與數量!G29)),(單價與數量!C29-單價與數量!F29)*單價與數量!G29,"")</f>
        <v>38100.000000000007</v>
      </c>
      <c r="E52" s="6">
        <f>IF(AND(ISNUMBER(單價與數量!C29),ISNUMBER(單價與數量!D29),ISNUMBER(單價與數量!F29),ISNUMBER(單價與數量!G29)),單價與數量!C29*(單價與數量!D29-單價與數量!G29),"")</f>
        <v>14340</v>
      </c>
      <c r="F52" s="6">
        <f t="shared" si="2"/>
        <v>-7.2759576141834259E-12</v>
      </c>
      <c r="G52" s="6">
        <f t="shared" si="3"/>
        <v>0</v>
      </c>
      <c r="H52" s="3" t="s">
        <v>163</v>
      </c>
    </row>
    <row r="53" spans="1:8" ht="14" customHeight="1">
      <c r="A53" s="4" t="s">
        <v>161</v>
      </c>
      <c r="B53" s="4" t="s">
        <v>5</v>
      </c>
      <c r="C53" s="7">
        <f>IF(AND(ISNUMBER(單價與數量!I29),ISNUMBER(單價與數量!J29),ISNUMBER(單價與數量!F29),ISNUMBER(單價與數量!G29)),單價與數量!K29-單價與數量!H29,"")</f>
        <v>318090</v>
      </c>
      <c r="D53" s="7">
        <f>IF(AND(ISNUMBER(單價與數量!I29),ISNUMBER(單價與數量!J29),ISNUMBER(單價與數量!F29),ISNUMBER(單價與數量!G29)),(單價與數量!I29-單價與數量!F29)*單價與數量!G29,"")</f>
        <v>-11969.999999999985</v>
      </c>
      <c r="E53" s="7">
        <f>IF(AND(ISNUMBER(單價與數量!I29),ISNUMBER(單價與數量!J29),ISNUMBER(單價與數量!F29),ISNUMBER(單價與數量!G29)),單價與數量!I29*(單價與數量!J29-單價與數量!G29),"")</f>
        <v>330060.00000000006</v>
      </c>
      <c r="F53" s="7">
        <f t="shared" si="2"/>
        <v>-5.8207660913467407E-11</v>
      </c>
      <c r="G53" s="7">
        <f t="shared" si="3"/>
        <v>0</v>
      </c>
      <c r="H53" s="4" t="s">
        <v>163</v>
      </c>
    </row>
    <row r="54" spans="1:8" ht="14" customHeight="1">
      <c r="A54" s="3" t="s">
        <v>165</v>
      </c>
      <c r="B54" s="3" t="s">
        <v>3</v>
      </c>
      <c r="C54" s="6">
        <f>IF(AND(ISNUMBER(單價與數量!C30),ISNUMBER(單價與數量!D30),ISNUMBER(單價與數量!F30),ISNUMBER(單價與數量!G30)),單價與數量!E30-單價與數量!H30,"")</f>
        <v>41600</v>
      </c>
      <c r="D54" s="6">
        <f>IF(AND(ISNUMBER(單價與數量!C30),ISNUMBER(單價與數量!D30),ISNUMBER(單價與數量!F30),ISNUMBER(單價與數量!G30)),(單價與數量!C30-單價與數量!F30)*單價與數量!G30,"")</f>
        <v>0</v>
      </c>
      <c r="E54" s="6">
        <f>IF(AND(ISNUMBER(單價與數量!C30),ISNUMBER(單價與數量!D30),ISNUMBER(單價與數量!F30),ISNUMBER(單價與數量!G30)),單價與數量!C30*(單價與數量!D30-單價與數量!G30),"")</f>
        <v>41600</v>
      </c>
      <c r="F54" s="6">
        <f t="shared" si="2"/>
        <v>0</v>
      </c>
      <c r="G54" s="6">
        <f t="shared" si="3"/>
        <v>0</v>
      </c>
      <c r="H54" s="3" t="s">
        <v>167</v>
      </c>
    </row>
    <row r="55" spans="1:8" ht="14" customHeight="1">
      <c r="A55" s="4" t="s">
        <v>165</v>
      </c>
      <c r="B55" s="4" t="s">
        <v>5</v>
      </c>
      <c r="C55" s="7">
        <f>IF(AND(ISNUMBER(單價與數量!I30),ISNUMBER(單價與數量!J30),ISNUMBER(單價與數量!F30),ISNUMBER(單價與數量!G30)),單價與數量!K30-單價與數量!H30,"")</f>
        <v>-3900</v>
      </c>
      <c r="D55" s="7">
        <f>IF(AND(ISNUMBER(單價與數量!I30),ISNUMBER(單價與數量!J30),ISNUMBER(單價與數量!F30),ISNUMBER(單價與數量!G30)),(單價與數量!I30-單價與數量!F30)*單價與數量!G30,"")</f>
        <v>0</v>
      </c>
      <c r="E55" s="7">
        <f>IF(AND(ISNUMBER(單價與數量!I30),ISNUMBER(單價與數量!J30),ISNUMBER(單價與數量!F30),ISNUMBER(單價與數量!G30)),單價與數量!I30*(單價與數量!J30-單價與數量!G30),"")</f>
        <v>-3900</v>
      </c>
      <c r="F55" s="7">
        <f t="shared" si="2"/>
        <v>0</v>
      </c>
      <c r="G55" s="7">
        <f t="shared" si="3"/>
        <v>0</v>
      </c>
      <c r="H55" s="4" t="s">
        <v>167</v>
      </c>
    </row>
    <row r="56" spans="1:8" ht="14" customHeight="1">
      <c r="A56" s="3" t="s">
        <v>169</v>
      </c>
      <c r="B56" s="3" t="s">
        <v>3</v>
      </c>
      <c r="C56" s="6">
        <f>IF(AND(ISNUMBER(單價與數量!C31),ISNUMBER(單價與數量!D31),ISNUMBER(單價與數量!F31),ISNUMBER(單價與數量!G31)),單價與數量!E31-單價與數量!H31,"")</f>
        <v>37800</v>
      </c>
      <c r="D56" s="6">
        <f>IF(AND(ISNUMBER(單價與數量!C31),ISNUMBER(單價與數量!D31),ISNUMBER(單價與數量!F31),ISNUMBER(單價與數量!G31)),(單價與數量!C31-單價與數量!F31)*單價與數量!G31,"")</f>
        <v>0</v>
      </c>
      <c r="E56" s="6">
        <f>IF(AND(ISNUMBER(單價與數量!C31),ISNUMBER(單價與數量!D31),ISNUMBER(單價與數量!F31),ISNUMBER(單價與數量!G31)),單價與數量!C31*(單價與數量!D31-單價與數量!G31),"")</f>
        <v>37800</v>
      </c>
      <c r="F56" s="6">
        <f t="shared" si="2"/>
        <v>0</v>
      </c>
      <c r="G56" s="6">
        <f t="shared" si="3"/>
        <v>0</v>
      </c>
      <c r="H56" s="3" t="s">
        <v>167</v>
      </c>
    </row>
    <row r="57" spans="1:8" ht="14" customHeight="1">
      <c r="A57" s="4" t="s">
        <v>169</v>
      </c>
      <c r="B57" s="4" t="s">
        <v>5</v>
      </c>
      <c r="C57" s="7">
        <f>IF(AND(ISNUMBER(單價與數量!I31),ISNUMBER(單價與數量!J31),ISNUMBER(單價與數量!F31),ISNUMBER(單價與數量!G31)),單價與數量!K31-單價與數量!H31,"")</f>
        <v>-7700</v>
      </c>
      <c r="D57" s="7">
        <f>IF(AND(ISNUMBER(單價與數量!I31),ISNUMBER(單價與數量!J31),ISNUMBER(單價與數量!F31),ISNUMBER(單價與數量!G31)),(單價與數量!I31-單價與數量!F31)*單價與數量!G31,"")</f>
        <v>0</v>
      </c>
      <c r="E57" s="7">
        <f>IF(AND(ISNUMBER(單價與數量!I31),ISNUMBER(單價與數量!J31),ISNUMBER(單價與數量!F31),ISNUMBER(單價與數量!G31)),單價與數量!I31*(單價與數量!J31-單價與數量!G31),"")</f>
        <v>-7700</v>
      </c>
      <c r="F57" s="7">
        <f t="shared" si="2"/>
        <v>0</v>
      </c>
      <c r="G57" s="7">
        <f t="shared" si="3"/>
        <v>0</v>
      </c>
      <c r="H57" s="4" t="s">
        <v>167</v>
      </c>
    </row>
    <row r="58" spans="1:8" ht="14" customHeight="1">
      <c r="A58" s="3" t="s">
        <v>171</v>
      </c>
      <c r="B58" s="3" t="s">
        <v>3</v>
      </c>
      <c r="C58" s="6">
        <f>IF(AND(ISNUMBER(單價與數量!C32),ISNUMBER(單價與數量!D32),ISNUMBER(單價與數量!F32),ISNUMBER(單價與數量!G32)),單價與數量!E32-單價與數量!H32,"")</f>
        <v>84800</v>
      </c>
      <c r="D58" s="6">
        <f>IF(AND(ISNUMBER(單價與數量!C32),ISNUMBER(單價與數量!D32),ISNUMBER(單價與數量!F32),ISNUMBER(單價與數量!G32)),(單價與數量!C32-單價與數量!F32)*單價與數量!G32,"")</f>
        <v>0</v>
      </c>
      <c r="E58" s="6">
        <f>IF(AND(ISNUMBER(單價與數量!C32),ISNUMBER(單價與數量!D32),ISNUMBER(單價與數量!F32),ISNUMBER(單價與數量!G32)),單價與數量!C32*(單價與數量!D32-單價與數量!G32),"")</f>
        <v>84800</v>
      </c>
      <c r="F58" s="6">
        <f t="shared" si="2"/>
        <v>0</v>
      </c>
      <c r="G58" s="6">
        <f t="shared" si="3"/>
        <v>0</v>
      </c>
      <c r="H58" s="3" t="s">
        <v>172</v>
      </c>
    </row>
    <row r="59" spans="1:8" ht="14" customHeight="1">
      <c r="A59" s="4" t="s">
        <v>171</v>
      </c>
      <c r="B59" s="4" t="s">
        <v>5</v>
      </c>
      <c r="C59" s="7">
        <f>IF(AND(ISNUMBER(單價與數量!I32),ISNUMBER(單價與數量!J32),ISNUMBER(單價與數量!F32),ISNUMBER(單價與數量!G32)),單價與數量!K32-單價與數量!H32,"")</f>
        <v>44800</v>
      </c>
      <c r="D59" s="7">
        <f>IF(AND(ISNUMBER(單價與數量!I32),ISNUMBER(單價與數量!J32),ISNUMBER(單價與數量!F32),ISNUMBER(單價與數量!G32)),(單價與數量!I32-單價與數量!F32)*單價與數量!G32,"")</f>
        <v>0</v>
      </c>
      <c r="E59" s="7">
        <f>IF(AND(ISNUMBER(單價與數量!I32),ISNUMBER(單價與數量!J32),ISNUMBER(單價與數量!F32),ISNUMBER(單價與數量!G32)),單價與數量!I32*(單價與數量!J32-單價與數量!G32),"")</f>
        <v>44800</v>
      </c>
      <c r="F59" s="7">
        <f t="shared" si="2"/>
        <v>0</v>
      </c>
      <c r="G59" s="7">
        <f t="shared" si="3"/>
        <v>0</v>
      </c>
      <c r="H59" s="4" t="s">
        <v>172</v>
      </c>
    </row>
    <row r="60" spans="1:8" ht="14" customHeight="1">
      <c r="A60" s="3" t="s">
        <v>174</v>
      </c>
      <c r="B60" s="3" t="s">
        <v>3</v>
      </c>
      <c r="C60" s="6">
        <f>IF(AND(ISNUMBER(單價與數量!C33),ISNUMBER(單價與數量!D33),ISNUMBER(單價與數量!F33),ISNUMBER(單價與數量!G33)),單價與數量!E33-單價與數量!H33,"")</f>
        <v>-26400</v>
      </c>
      <c r="D60" s="6">
        <f>IF(AND(ISNUMBER(單價與數量!C33),ISNUMBER(單價與數量!D33),ISNUMBER(單價與數量!F33),ISNUMBER(單價與數量!G33)),(單價與數量!C33-單價與數量!F33)*單價與數量!G33,"")</f>
        <v>0</v>
      </c>
      <c r="E60" s="6">
        <f>IF(AND(ISNUMBER(單價與數量!C33),ISNUMBER(單價與數量!D33),ISNUMBER(單價與數量!F33),ISNUMBER(單價與數量!G33)),單價與數量!C33*(單價與數量!D33-單價與數量!G33),"")</f>
        <v>-26400</v>
      </c>
      <c r="F60" s="6">
        <f t="shared" si="2"/>
        <v>0</v>
      </c>
      <c r="G60" s="6">
        <f t="shared" si="3"/>
        <v>0</v>
      </c>
      <c r="H60" s="3" t="s">
        <v>175</v>
      </c>
    </row>
    <row r="61" spans="1:8" ht="14" customHeight="1">
      <c r="A61" s="4" t="s">
        <v>174</v>
      </c>
      <c r="B61" s="4" t="s">
        <v>5</v>
      </c>
      <c r="C61" s="7">
        <f>IF(AND(ISNUMBER(單價與數量!I33),ISNUMBER(單價與數量!J33),ISNUMBER(單價與數量!F33),ISNUMBER(單價與數量!G33)),單價與數量!K33-單價與數量!H33,"")</f>
        <v>-49200</v>
      </c>
      <c r="D61" s="7">
        <f>IF(AND(ISNUMBER(單價與數量!I33),ISNUMBER(單價與數量!J33),ISNUMBER(單價與數量!F33),ISNUMBER(單價與數量!G33)),(單價與數量!I33-單價與數量!F33)*單價與數量!G33,"")</f>
        <v>0</v>
      </c>
      <c r="E61" s="7">
        <f>IF(AND(ISNUMBER(單價與數量!I33),ISNUMBER(單價與數量!J33),ISNUMBER(單價與數量!F33),ISNUMBER(單價與數量!G33)),單價與數量!I33*(單價與數量!J33-單價與數量!G33),"")</f>
        <v>-49200</v>
      </c>
      <c r="F61" s="7">
        <f t="shared" si="2"/>
        <v>0</v>
      </c>
      <c r="G61" s="7">
        <f t="shared" si="3"/>
        <v>0</v>
      </c>
      <c r="H61" s="4" t="s">
        <v>175</v>
      </c>
    </row>
    <row r="62" spans="1:8" ht="14" customHeight="1">
      <c r="A62" s="3" t="s">
        <v>177</v>
      </c>
      <c r="B62" s="3" t="s">
        <v>3</v>
      </c>
      <c r="C62" s="6">
        <f>IF(AND(ISNUMBER(單價與數量!C34),ISNUMBER(單價與數量!D34),ISNUMBER(單價與數量!F34),ISNUMBER(單價與數量!G34)),單價與數量!E34-單價與數量!H34,"")</f>
        <v>-30900</v>
      </c>
      <c r="D62" s="6">
        <f>IF(AND(ISNUMBER(單價與數量!C34),ISNUMBER(單價與數量!D34),ISNUMBER(單價與數量!F34),ISNUMBER(單價與數量!G34)),(單價與數量!C34-單價與數量!F34)*單價與數量!G34,"")</f>
        <v>0</v>
      </c>
      <c r="E62" s="6">
        <f>IF(AND(ISNUMBER(單價與數量!C34),ISNUMBER(單價與數量!D34),ISNUMBER(單價與數量!F34),ISNUMBER(單價與數量!G34)),單價與數量!C34*(單價與數量!D34-單價與數量!G34),"")</f>
        <v>-30900</v>
      </c>
      <c r="F62" s="6">
        <f t="shared" si="2"/>
        <v>0</v>
      </c>
      <c r="G62" s="6">
        <f t="shared" si="3"/>
        <v>0</v>
      </c>
      <c r="H62" s="3" t="s">
        <v>178</v>
      </c>
    </row>
    <row r="63" spans="1:8" ht="14" customHeight="1">
      <c r="A63" s="4" t="s">
        <v>177</v>
      </c>
      <c r="B63" s="4" t="s">
        <v>5</v>
      </c>
      <c r="C63" s="7">
        <f>IF(AND(ISNUMBER(單價與數量!I34),ISNUMBER(單價與數量!J34),ISNUMBER(單價與數量!F34),ISNUMBER(單價與數量!G34)),單價與數量!K34-單價與數量!H34,"")</f>
        <v>31200</v>
      </c>
      <c r="D63" s="7">
        <f>IF(AND(ISNUMBER(單價與數量!I34),ISNUMBER(單價與數量!J34),ISNUMBER(單價與數量!F34),ISNUMBER(單價與數量!G34)),(單價與數量!I34-單價與數量!F34)*單價與數量!G34,"")</f>
        <v>0</v>
      </c>
      <c r="E63" s="7">
        <f>IF(AND(ISNUMBER(單價與數量!I34),ISNUMBER(單價與數量!J34),ISNUMBER(單價與數量!F34),ISNUMBER(單價與數量!G34)),單價與數量!I34*(單價與數量!J34-單價與數量!G34),"")</f>
        <v>31200</v>
      </c>
      <c r="F63" s="7">
        <f t="shared" si="2"/>
        <v>0</v>
      </c>
      <c r="G63" s="7">
        <f t="shared" si="3"/>
        <v>0</v>
      </c>
      <c r="H63" s="4" t="s">
        <v>178</v>
      </c>
    </row>
    <row r="64" spans="1:8" ht="14" customHeight="1">
      <c r="A64" s="3" t="s">
        <v>180</v>
      </c>
      <c r="B64" s="3" t="s">
        <v>3</v>
      </c>
      <c r="C64" s="6">
        <f>IF(AND(ISNUMBER(單價與數量!C35),ISNUMBER(單價與數量!D35),ISNUMBER(單價與數量!F35),ISNUMBER(單價與數量!G35)),單價與數量!E35-單價與數量!H35,"")</f>
        <v>-74106</v>
      </c>
      <c r="D64" s="6">
        <f>IF(AND(ISNUMBER(單價與數量!C35),ISNUMBER(單價與數量!D35),ISNUMBER(單價與數量!F35),ISNUMBER(單價與數量!G35)),(單價與數量!C35-單價與數量!F35)*單價與數量!G35,"")</f>
        <v>0</v>
      </c>
      <c r="E64" s="6">
        <f>IF(AND(ISNUMBER(單價與數量!C35),ISNUMBER(單價與數量!D35),ISNUMBER(單價與數量!F35),ISNUMBER(單價與數量!G35)),單價與數量!C35*(單價與數量!D35-單價與數量!G35),"")</f>
        <v>-74106</v>
      </c>
      <c r="F64" s="6">
        <f t="shared" si="2"/>
        <v>0</v>
      </c>
      <c r="G64" s="6">
        <f t="shared" si="3"/>
        <v>0</v>
      </c>
      <c r="H64" s="3" t="s">
        <v>181</v>
      </c>
    </row>
    <row r="65" spans="1:8" ht="14" customHeight="1">
      <c r="A65" s="4" t="s">
        <v>180</v>
      </c>
      <c r="B65" s="4" t="s">
        <v>5</v>
      </c>
      <c r="C65" s="7">
        <f>IF(AND(ISNUMBER(單價與數量!I35),ISNUMBER(單價與數量!J35),ISNUMBER(單價與數量!F35),ISNUMBER(單價與數量!G35)),單價與數量!K35-單價與數量!H35,"")</f>
        <v>108774</v>
      </c>
      <c r="D65" s="7">
        <f>IF(AND(ISNUMBER(單價與數量!I35),ISNUMBER(單價與數量!J35),ISNUMBER(單價與數量!F35),ISNUMBER(單價與數量!G35)),(單價與數量!I35-單價與數量!F35)*單價與數量!G35,"")</f>
        <v>50400</v>
      </c>
      <c r="E65" s="7">
        <f>IF(AND(ISNUMBER(單價與數量!I35),ISNUMBER(單價與數量!J35),ISNUMBER(單價與數量!F35),ISNUMBER(單價與數量!G35)),單價與數量!I35*(單價與數量!J35-單價與數量!G35),"")</f>
        <v>58374</v>
      </c>
      <c r="F65" s="7">
        <f t="shared" si="2"/>
        <v>0</v>
      </c>
      <c r="G65" s="7">
        <f t="shared" si="3"/>
        <v>0</v>
      </c>
      <c r="H65" s="4" t="s">
        <v>181</v>
      </c>
    </row>
  </sheetData>
  <autoFilter ref="A5:H65" xr:uid="{00000000-0001-0000-0300-000000000000}"/>
  <phoneticPr fontId="7" type="noConversion"/>
  <conditionalFormatting sqref="G6:G65">
    <cfRule type="cellIs" dxfId="2" priority="1" operator="not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23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25" customWidth="1"/>
    <col min="2" max="4" width="62" customWidth="1"/>
    <col min="5" max="5" width="75" customWidth="1"/>
    <col min="6" max="6" width="48" customWidth="1"/>
  </cols>
  <sheetData>
    <row r="2" spans="1:6" ht="19.25" customHeight="1">
      <c r="A2" s="1" t="s">
        <v>192</v>
      </c>
    </row>
    <row r="5" spans="1:6" ht="14" customHeight="1">
      <c r="A5" s="2" t="s">
        <v>193</v>
      </c>
      <c r="B5" s="2" t="s">
        <v>3</v>
      </c>
      <c r="C5" s="2" t="s">
        <v>4</v>
      </c>
      <c r="D5" s="2" t="s">
        <v>5</v>
      </c>
      <c r="E5" s="2" t="s">
        <v>194</v>
      </c>
      <c r="F5" s="2" t="s">
        <v>195</v>
      </c>
    </row>
    <row r="6" spans="1:6" ht="14" customHeight="1">
      <c r="A6" s="3" t="s">
        <v>24</v>
      </c>
      <c r="B6" s="3" t="s">
        <v>196</v>
      </c>
      <c r="C6" s="3" t="s">
        <v>197</v>
      </c>
      <c r="D6" s="3" t="s">
        <v>198</v>
      </c>
      <c r="E6" s="3" t="s">
        <v>199</v>
      </c>
      <c r="F6" s="3" t="s">
        <v>200</v>
      </c>
    </row>
    <row r="7" spans="1:6" ht="14" customHeight="1">
      <c r="A7" s="4" t="s">
        <v>201</v>
      </c>
      <c r="B7" s="4" t="s">
        <v>202</v>
      </c>
      <c r="C7" s="4" t="s">
        <v>203</v>
      </c>
      <c r="D7" s="4" t="s">
        <v>204</v>
      </c>
      <c r="E7" s="4" t="s">
        <v>205</v>
      </c>
      <c r="F7" s="4" t="s">
        <v>206</v>
      </c>
    </row>
    <row r="8" spans="1:6" ht="14" customHeight="1">
      <c r="A8" s="3" t="s">
        <v>13</v>
      </c>
      <c r="B8" s="3" t="s">
        <v>207</v>
      </c>
      <c r="C8" s="3" t="s">
        <v>208</v>
      </c>
      <c r="D8" s="3" t="s">
        <v>209</v>
      </c>
      <c r="E8" s="3" t="s">
        <v>210</v>
      </c>
      <c r="F8" s="3" t="s">
        <v>211</v>
      </c>
    </row>
    <row r="9" spans="1:6" ht="14" customHeight="1">
      <c r="A9" s="4" t="s">
        <v>212</v>
      </c>
      <c r="B9" s="4" t="s">
        <v>213</v>
      </c>
      <c r="C9" s="4" t="s">
        <v>214</v>
      </c>
      <c r="D9" s="4" t="s">
        <v>215</v>
      </c>
      <c r="E9" s="4" t="s">
        <v>216</v>
      </c>
      <c r="F9" s="4" t="s">
        <v>217</v>
      </c>
    </row>
    <row r="10" spans="1:6" ht="14" customHeight="1">
      <c r="A10" s="3" t="s">
        <v>218</v>
      </c>
      <c r="B10" s="3" t="s">
        <v>219</v>
      </c>
      <c r="C10" s="3" t="s">
        <v>220</v>
      </c>
      <c r="D10" s="3" t="s">
        <v>221</v>
      </c>
      <c r="E10" s="3" t="s">
        <v>222</v>
      </c>
      <c r="F10" s="3" t="s">
        <v>223</v>
      </c>
    </row>
    <row r="11" spans="1:6" ht="14" customHeight="1">
      <c r="A11" s="4" t="s">
        <v>224</v>
      </c>
      <c r="B11" s="4" t="s">
        <v>225</v>
      </c>
      <c r="C11" s="4" t="s">
        <v>226</v>
      </c>
      <c r="D11" s="4" t="s">
        <v>227</v>
      </c>
      <c r="E11" s="4" t="s">
        <v>228</v>
      </c>
      <c r="F11" s="4" t="s">
        <v>229</v>
      </c>
    </row>
    <row r="12" spans="1:6" ht="14" customHeight="1">
      <c r="A12" s="3" t="s">
        <v>230</v>
      </c>
      <c r="B12" s="3" t="s">
        <v>231</v>
      </c>
      <c r="C12" s="3" t="s">
        <v>232</v>
      </c>
      <c r="D12" s="3" t="s">
        <v>233</v>
      </c>
      <c r="E12" s="3" t="s">
        <v>234</v>
      </c>
      <c r="F12" s="3" t="s">
        <v>235</v>
      </c>
    </row>
    <row r="13" spans="1:6" ht="14" customHeight="1">
      <c r="A13" s="4" t="s">
        <v>236</v>
      </c>
      <c r="B13" s="4" t="s">
        <v>237</v>
      </c>
      <c r="C13" s="4" t="s">
        <v>238</v>
      </c>
      <c r="D13" s="4" t="s">
        <v>239</v>
      </c>
      <c r="E13" s="4" t="s">
        <v>240</v>
      </c>
      <c r="F13" s="4" t="s">
        <v>241</v>
      </c>
    </row>
    <row r="14" spans="1:6" ht="14" customHeight="1">
      <c r="A14" s="3" t="s">
        <v>242</v>
      </c>
      <c r="B14" s="3" t="s">
        <v>243</v>
      </c>
      <c r="C14" s="3" t="s">
        <v>244</v>
      </c>
      <c r="D14" s="3" t="s">
        <v>245</v>
      </c>
      <c r="E14" s="3" t="s">
        <v>246</v>
      </c>
      <c r="F14" s="3" t="s">
        <v>247</v>
      </c>
    </row>
    <row r="15" spans="1:6" ht="14" customHeight="1">
      <c r="A15" s="4" t="s">
        <v>110</v>
      </c>
      <c r="B15" s="4" t="s">
        <v>248</v>
      </c>
      <c r="C15" s="4" t="s">
        <v>249</v>
      </c>
      <c r="D15" s="4" t="s">
        <v>250</v>
      </c>
      <c r="E15" s="4" t="s">
        <v>251</v>
      </c>
      <c r="F15" s="4" t="s">
        <v>252</v>
      </c>
    </row>
    <row r="16" spans="1:6" ht="14" customHeight="1">
      <c r="A16" s="3" t="s">
        <v>253</v>
      </c>
      <c r="B16" s="3" t="s">
        <v>254</v>
      </c>
      <c r="C16" s="3" t="s">
        <v>255</v>
      </c>
      <c r="D16" s="3" t="s">
        <v>256</v>
      </c>
      <c r="E16" s="3" t="s">
        <v>257</v>
      </c>
      <c r="F16" s="3" t="s">
        <v>258</v>
      </c>
    </row>
    <row r="17" spans="1:6" ht="14" customHeight="1">
      <c r="A17" s="4" t="s">
        <v>259</v>
      </c>
      <c r="B17" s="4" t="s">
        <v>260</v>
      </c>
      <c r="C17" s="4" t="s">
        <v>261</v>
      </c>
      <c r="D17" s="4" t="s">
        <v>262</v>
      </c>
      <c r="E17" s="4" t="s">
        <v>263</v>
      </c>
      <c r="F17" s="4" t="s">
        <v>264</v>
      </c>
    </row>
    <row r="18" spans="1:6" ht="14" customHeight="1">
      <c r="A18" s="3" t="s">
        <v>265</v>
      </c>
      <c r="B18" s="3" t="s">
        <v>266</v>
      </c>
      <c r="C18" s="3" t="s">
        <v>267</v>
      </c>
      <c r="D18" s="3" t="s">
        <v>268</v>
      </c>
      <c r="E18" s="3" t="s">
        <v>269</v>
      </c>
      <c r="F18" s="3" t="s">
        <v>270</v>
      </c>
    </row>
    <row r="19" spans="1:6" ht="14" customHeight="1">
      <c r="A19" s="4" t="s">
        <v>271</v>
      </c>
      <c r="B19" s="4" t="s">
        <v>272</v>
      </c>
      <c r="C19" s="4" t="s">
        <v>273</v>
      </c>
      <c r="D19" s="4" t="s">
        <v>274</v>
      </c>
      <c r="E19" s="4" t="s">
        <v>275</v>
      </c>
      <c r="F19" s="4" t="s">
        <v>276</v>
      </c>
    </row>
    <row r="20" spans="1:6" ht="14" customHeight="1">
      <c r="A20" s="3" t="s">
        <v>277</v>
      </c>
      <c r="B20" s="3" t="s">
        <v>278</v>
      </c>
      <c r="C20" s="3" t="s">
        <v>278</v>
      </c>
      <c r="D20" s="3" t="s">
        <v>279</v>
      </c>
      <c r="E20" s="3" t="s">
        <v>280</v>
      </c>
      <c r="F20" s="3" t="s">
        <v>281</v>
      </c>
    </row>
    <row r="21" spans="1:6" ht="14" customHeight="1">
      <c r="A21" s="4" t="s">
        <v>282</v>
      </c>
      <c r="B21" s="4" t="s">
        <v>283</v>
      </c>
      <c r="C21" s="4" t="s">
        <v>284</v>
      </c>
      <c r="D21" s="4" t="s">
        <v>284</v>
      </c>
      <c r="E21" s="4" t="s">
        <v>285</v>
      </c>
      <c r="F21" s="4" t="s">
        <v>286</v>
      </c>
    </row>
    <row r="22" spans="1:6" ht="14" customHeight="1">
      <c r="A22" s="3" t="s">
        <v>287</v>
      </c>
      <c r="B22" s="3" t="s">
        <v>288</v>
      </c>
      <c r="C22" s="3" t="s">
        <v>289</v>
      </c>
      <c r="D22" s="3" t="s">
        <v>290</v>
      </c>
      <c r="E22" s="3" t="s">
        <v>291</v>
      </c>
      <c r="F22" s="3" t="s">
        <v>292</v>
      </c>
    </row>
    <row r="23" spans="1:6" ht="14" customHeight="1">
      <c r="A23" s="4" t="s">
        <v>293</v>
      </c>
      <c r="B23" s="4" t="s">
        <v>294</v>
      </c>
      <c r="C23" s="4" t="s">
        <v>295</v>
      </c>
      <c r="D23" s="4" t="s">
        <v>296</v>
      </c>
      <c r="E23" s="4" t="s">
        <v>297</v>
      </c>
      <c r="F23" s="4" t="s">
        <v>298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15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2" width="28" customWidth="1"/>
    <col min="3" max="3" width="14" customWidth="1"/>
    <col min="4" max="4" width="105" customWidth="1"/>
    <col min="5" max="5" width="35" customWidth="1"/>
    <col min="6" max="6" width="60" customWidth="1"/>
  </cols>
  <sheetData>
    <row r="2" spans="1:6" ht="19.25" customHeight="1">
      <c r="A2" s="1" t="s">
        <v>299</v>
      </c>
    </row>
    <row r="5" spans="1:6" ht="14" customHeight="1">
      <c r="A5" s="2" t="s">
        <v>41</v>
      </c>
      <c r="B5" s="2" t="s">
        <v>300</v>
      </c>
      <c r="C5" s="2" t="s">
        <v>301</v>
      </c>
      <c r="D5" s="2" t="s">
        <v>302</v>
      </c>
      <c r="E5" s="2" t="s">
        <v>195</v>
      </c>
      <c r="F5" s="2" t="s">
        <v>303</v>
      </c>
    </row>
    <row r="6" spans="1:6" ht="14" customHeight="1">
      <c r="A6" s="3" t="s">
        <v>304</v>
      </c>
      <c r="B6" s="3" t="s">
        <v>305</v>
      </c>
      <c r="C6" s="3" t="s">
        <v>306</v>
      </c>
      <c r="D6" s="3" t="s">
        <v>307</v>
      </c>
      <c r="E6" s="3" t="s">
        <v>308</v>
      </c>
      <c r="F6" s="5"/>
    </row>
    <row r="7" spans="1:6" ht="14" customHeight="1">
      <c r="A7" s="4" t="s">
        <v>3</v>
      </c>
      <c r="B7" s="4" t="s">
        <v>309</v>
      </c>
      <c r="C7" s="4" t="s">
        <v>306</v>
      </c>
      <c r="D7" s="4" t="s">
        <v>310</v>
      </c>
      <c r="E7" s="4" t="s">
        <v>311</v>
      </c>
      <c r="F7" s="5"/>
    </row>
    <row r="8" spans="1:6" ht="14" customHeight="1">
      <c r="A8" s="3" t="s">
        <v>3</v>
      </c>
      <c r="B8" s="3" t="s">
        <v>312</v>
      </c>
      <c r="C8" s="3" t="s">
        <v>313</v>
      </c>
      <c r="D8" s="3" t="s">
        <v>314</v>
      </c>
      <c r="E8" s="3" t="s">
        <v>315</v>
      </c>
      <c r="F8" s="5"/>
    </row>
    <row r="9" spans="1:6" ht="14" customHeight="1">
      <c r="A9" s="4" t="s">
        <v>4</v>
      </c>
      <c r="B9" s="4" t="s">
        <v>316</v>
      </c>
      <c r="C9" s="4" t="s">
        <v>306</v>
      </c>
      <c r="D9" s="4" t="s">
        <v>317</v>
      </c>
      <c r="E9" s="4" t="s">
        <v>311</v>
      </c>
      <c r="F9" s="5"/>
    </row>
    <row r="10" spans="1:6" ht="14" customHeight="1">
      <c r="A10" s="3" t="s">
        <v>5</v>
      </c>
      <c r="B10" s="3" t="s">
        <v>318</v>
      </c>
      <c r="C10" s="3" t="s">
        <v>306</v>
      </c>
      <c r="D10" s="3" t="s">
        <v>319</v>
      </c>
      <c r="E10" s="3" t="s">
        <v>320</v>
      </c>
      <c r="F10" s="5"/>
    </row>
    <row r="11" spans="1:6" ht="14" customHeight="1">
      <c r="A11" s="4" t="s">
        <v>321</v>
      </c>
      <c r="B11" s="4" t="s">
        <v>322</v>
      </c>
      <c r="C11" s="4" t="s">
        <v>306</v>
      </c>
      <c r="D11" s="4" t="s">
        <v>323</v>
      </c>
      <c r="E11" s="4" t="s">
        <v>324</v>
      </c>
      <c r="F11" s="5"/>
    </row>
    <row r="12" spans="1:6" ht="14" customHeight="1">
      <c r="A12" s="3" t="s">
        <v>5</v>
      </c>
      <c r="B12" s="3" t="s">
        <v>325</v>
      </c>
      <c r="C12" s="3" t="s">
        <v>313</v>
      </c>
      <c r="D12" s="3" t="s">
        <v>326</v>
      </c>
      <c r="E12" s="3" t="s">
        <v>327</v>
      </c>
      <c r="F12" s="5"/>
    </row>
    <row r="13" spans="1:6" ht="14" customHeight="1">
      <c r="A13" s="4" t="s">
        <v>5</v>
      </c>
      <c r="B13" s="4" t="s">
        <v>328</v>
      </c>
      <c r="C13" s="4" t="s">
        <v>329</v>
      </c>
      <c r="D13" s="4" t="s">
        <v>330</v>
      </c>
      <c r="E13" s="4" t="s">
        <v>331</v>
      </c>
      <c r="F13" s="5"/>
    </row>
    <row r="14" spans="1:6" ht="14" customHeight="1">
      <c r="A14" s="3" t="s">
        <v>4</v>
      </c>
      <c r="B14" s="3" t="s">
        <v>332</v>
      </c>
      <c r="C14" s="3" t="s">
        <v>329</v>
      </c>
      <c r="D14" s="3" t="s">
        <v>333</v>
      </c>
      <c r="E14" s="3" t="s">
        <v>334</v>
      </c>
      <c r="F14" s="5"/>
    </row>
    <row r="15" spans="1:6" ht="14" customHeight="1">
      <c r="A15" s="4" t="s">
        <v>304</v>
      </c>
      <c r="B15" s="4" t="s">
        <v>335</v>
      </c>
      <c r="C15" s="4" t="s">
        <v>306</v>
      </c>
      <c r="D15" s="4" t="s">
        <v>336</v>
      </c>
      <c r="E15" s="4" t="s">
        <v>337</v>
      </c>
      <c r="F15" s="5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611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E6" sqref="E6"/>
    </sheetView>
  </sheetViews>
  <sheetFormatPr baseColWidth="10" defaultColWidth="8.83203125" defaultRowHeight="14"/>
  <cols>
    <col min="1" max="1" width="20" customWidth="1"/>
    <col min="2" max="2" width="24" customWidth="1"/>
    <col min="3" max="3" width="23" customWidth="1"/>
    <col min="4" max="4" width="12" customWidth="1"/>
    <col min="5" max="5" width="66" customWidth="1"/>
    <col min="6" max="6" width="10" customWidth="1"/>
    <col min="7" max="7" width="15" customWidth="1"/>
    <col min="8" max="8" width="16" customWidth="1"/>
    <col min="9" max="11" width="18" customWidth="1"/>
    <col min="12" max="12" width="64" customWidth="1"/>
    <col min="13" max="13" width="10" customWidth="1"/>
    <col min="14" max="14" width="16" customWidth="1"/>
    <col min="15" max="15" width="25" customWidth="1"/>
    <col min="16" max="16" width="65" customWidth="1"/>
  </cols>
  <sheetData>
    <row r="2" spans="1:16" ht="19.25" customHeight="1">
      <c r="A2" s="1" t="s">
        <v>338</v>
      </c>
    </row>
    <row r="3" spans="1:16" ht="14" customHeight="1">
      <c r="A3" s="14" t="s">
        <v>339</v>
      </c>
    </row>
    <row r="5" spans="1:16" ht="14" customHeight="1">
      <c r="A5" s="2" t="s">
        <v>340</v>
      </c>
      <c r="B5" s="2" t="s">
        <v>341</v>
      </c>
      <c r="C5" s="2" t="s">
        <v>342</v>
      </c>
      <c r="D5" s="2" t="s">
        <v>343</v>
      </c>
      <c r="E5" s="2" t="s">
        <v>344</v>
      </c>
      <c r="F5" s="2" t="s">
        <v>74</v>
      </c>
      <c r="G5" s="2" t="s">
        <v>345</v>
      </c>
      <c r="H5" s="2" t="s">
        <v>346</v>
      </c>
      <c r="I5" s="2" t="s">
        <v>347</v>
      </c>
      <c r="J5" s="2" t="s">
        <v>348</v>
      </c>
      <c r="K5" s="2" t="s">
        <v>349</v>
      </c>
      <c r="L5" s="2" t="s">
        <v>350</v>
      </c>
      <c r="M5" s="2" t="s">
        <v>351</v>
      </c>
      <c r="N5" s="2" t="s">
        <v>352</v>
      </c>
      <c r="O5" s="2" t="s">
        <v>46</v>
      </c>
      <c r="P5" s="2" t="s">
        <v>353</v>
      </c>
    </row>
    <row r="6" spans="1:16" ht="14" customHeight="1">
      <c r="A6" s="3" t="s">
        <v>354</v>
      </c>
      <c r="B6" s="3" t="s">
        <v>50</v>
      </c>
      <c r="C6" s="3"/>
      <c r="D6" s="3" t="s">
        <v>355</v>
      </c>
      <c r="E6" s="3" t="s">
        <v>356</v>
      </c>
      <c r="F6" s="3" t="s">
        <v>357</v>
      </c>
      <c r="G6" s="10">
        <v>1</v>
      </c>
      <c r="H6" s="10">
        <v>537880</v>
      </c>
      <c r="I6" s="11">
        <v>537880</v>
      </c>
      <c r="J6" s="8">
        <f t="shared" ref="J6:J69" si="0">IF(OR(G6="",H6=""),"",ROUND(G6*H6,0))</f>
        <v>537880</v>
      </c>
      <c r="K6" s="8">
        <f t="shared" ref="K6:K69" si="1">IF(OR(I6="",J6=""),"",I6-J6)</f>
        <v>0</v>
      </c>
      <c r="L6" s="3"/>
      <c r="M6" s="3">
        <v>4</v>
      </c>
      <c r="N6" s="3" t="s">
        <v>358</v>
      </c>
      <c r="O6" s="3" t="s">
        <v>50</v>
      </c>
      <c r="P6" s="3"/>
    </row>
    <row r="7" spans="1:16" ht="14" customHeight="1">
      <c r="A7" s="4" t="s">
        <v>359</v>
      </c>
      <c r="B7" s="4" t="s">
        <v>50</v>
      </c>
      <c r="C7" s="4"/>
      <c r="D7" s="4" t="s">
        <v>360</v>
      </c>
      <c r="E7" s="4" t="s">
        <v>361</v>
      </c>
      <c r="F7" s="4" t="s">
        <v>357</v>
      </c>
      <c r="G7" s="12">
        <v>1</v>
      </c>
      <c r="H7" s="12">
        <v>733748</v>
      </c>
      <c r="I7" s="13">
        <v>733748</v>
      </c>
      <c r="J7" s="9">
        <f t="shared" si="0"/>
        <v>733748</v>
      </c>
      <c r="K7" s="9">
        <f t="shared" si="1"/>
        <v>0</v>
      </c>
      <c r="L7" s="4"/>
      <c r="M7" s="4">
        <v>4</v>
      </c>
      <c r="N7" s="4" t="s">
        <v>358</v>
      </c>
      <c r="O7" s="4" t="s">
        <v>50</v>
      </c>
      <c r="P7" s="4"/>
    </row>
    <row r="8" spans="1:16" ht="14" customHeight="1">
      <c r="A8" s="3" t="s">
        <v>362</v>
      </c>
      <c r="B8" s="3" t="s">
        <v>50</v>
      </c>
      <c r="C8" s="3"/>
      <c r="D8" s="3" t="s">
        <v>363</v>
      </c>
      <c r="E8" s="3" t="s">
        <v>364</v>
      </c>
      <c r="F8" s="3" t="s">
        <v>357</v>
      </c>
      <c r="G8" s="10">
        <v>1</v>
      </c>
      <c r="H8" s="10">
        <v>717000</v>
      </c>
      <c r="I8" s="11">
        <v>717000</v>
      </c>
      <c r="J8" s="8">
        <f t="shared" si="0"/>
        <v>717000</v>
      </c>
      <c r="K8" s="8">
        <f t="shared" si="1"/>
        <v>0</v>
      </c>
      <c r="L8" s="3"/>
      <c r="M8" s="3">
        <v>4</v>
      </c>
      <c r="N8" s="3" t="s">
        <v>358</v>
      </c>
      <c r="O8" s="3" t="s">
        <v>50</v>
      </c>
      <c r="P8" s="3"/>
    </row>
    <row r="9" spans="1:16" ht="14" customHeight="1">
      <c r="A9" s="4" t="s">
        <v>365</v>
      </c>
      <c r="B9" s="4" t="s">
        <v>50</v>
      </c>
      <c r="C9" s="4"/>
      <c r="D9" s="4" t="s">
        <v>366</v>
      </c>
      <c r="E9" s="4" t="s">
        <v>367</v>
      </c>
      <c r="F9" s="4" t="s">
        <v>357</v>
      </c>
      <c r="G9" s="12">
        <v>1</v>
      </c>
      <c r="H9" s="12">
        <v>360000</v>
      </c>
      <c r="I9" s="13">
        <v>360000</v>
      </c>
      <c r="J9" s="9">
        <f t="shared" si="0"/>
        <v>360000</v>
      </c>
      <c r="K9" s="9">
        <f t="shared" si="1"/>
        <v>0</v>
      </c>
      <c r="L9" s="4"/>
      <c r="M9" s="4">
        <v>4</v>
      </c>
      <c r="N9" s="4" t="s">
        <v>358</v>
      </c>
      <c r="O9" s="4" t="s">
        <v>50</v>
      </c>
      <c r="P9" s="4"/>
    </row>
    <row r="10" spans="1:16" ht="14" customHeight="1">
      <c r="A10" s="3" t="s">
        <v>368</v>
      </c>
      <c r="B10" s="3" t="s">
        <v>50</v>
      </c>
      <c r="C10" s="3"/>
      <c r="D10" s="3" t="s">
        <v>369</v>
      </c>
      <c r="E10" s="3" t="s">
        <v>370</v>
      </c>
      <c r="F10" s="3" t="s">
        <v>357</v>
      </c>
      <c r="G10" s="10">
        <v>1</v>
      </c>
      <c r="H10" s="10">
        <v>980100</v>
      </c>
      <c r="I10" s="11">
        <v>980100</v>
      </c>
      <c r="J10" s="8">
        <f t="shared" si="0"/>
        <v>980100</v>
      </c>
      <c r="K10" s="8">
        <f t="shared" si="1"/>
        <v>0</v>
      </c>
      <c r="L10" s="3"/>
      <c r="M10" s="3">
        <v>4</v>
      </c>
      <c r="N10" s="3" t="s">
        <v>358</v>
      </c>
      <c r="O10" s="3" t="s">
        <v>50</v>
      </c>
      <c r="P10" s="3"/>
    </row>
    <row r="11" spans="1:16" ht="14" customHeight="1">
      <c r="A11" s="4" t="s">
        <v>371</v>
      </c>
      <c r="B11" s="4" t="s">
        <v>50</v>
      </c>
      <c r="C11" s="4"/>
      <c r="D11" s="4" t="s">
        <v>372</v>
      </c>
      <c r="E11" s="4" t="s">
        <v>373</v>
      </c>
      <c r="F11" s="4" t="s">
        <v>357</v>
      </c>
      <c r="G11" s="12">
        <v>1</v>
      </c>
      <c r="H11" s="12">
        <v>140000</v>
      </c>
      <c r="I11" s="13">
        <v>140000</v>
      </c>
      <c r="J11" s="9">
        <f t="shared" si="0"/>
        <v>140000</v>
      </c>
      <c r="K11" s="9">
        <f t="shared" si="1"/>
        <v>0</v>
      </c>
      <c r="L11" s="4"/>
      <c r="M11" s="4">
        <v>4</v>
      </c>
      <c r="N11" s="4" t="s">
        <v>358</v>
      </c>
      <c r="O11" s="4" t="s">
        <v>50</v>
      </c>
      <c r="P11" s="4"/>
    </row>
    <row r="12" spans="1:16" ht="14" customHeight="1">
      <c r="A12" s="3" t="s">
        <v>374</v>
      </c>
      <c r="B12" s="3" t="s">
        <v>50</v>
      </c>
      <c r="C12" s="3"/>
      <c r="D12" s="3" t="s">
        <v>375</v>
      </c>
      <c r="E12" s="3" t="s">
        <v>376</v>
      </c>
      <c r="F12" s="3" t="s">
        <v>357</v>
      </c>
      <c r="G12" s="10">
        <v>1</v>
      </c>
      <c r="H12" s="10">
        <v>136200</v>
      </c>
      <c r="I12" s="11">
        <v>136200</v>
      </c>
      <c r="J12" s="8">
        <f t="shared" si="0"/>
        <v>136200</v>
      </c>
      <c r="K12" s="8">
        <f t="shared" si="1"/>
        <v>0</v>
      </c>
      <c r="L12" s="3"/>
      <c r="M12" s="3">
        <v>4</v>
      </c>
      <c r="N12" s="3" t="s">
        <v>358</v>
      </c>
      <c r="O12" s="3" t="s">
        <v>50</v>
      </c>
      <c r="P12" s="3"/>
    </row>
    <row r="13" spans="1:16" ht="14" customHeight="1">
      <c r="A13" s="4" t="s">
        <v>377</v>
      </c>
      <c r="B13" s="4" t="s">
        <v>378</v>
      </c>
      <c r="C13" s="4"/>
      <c r="D13" s="4" t="s">
        <v>379</v>
      </c>
      <c r="E13" s="4" t="s">
        <v>380</v>
      </c>
      <c r="F13" s="4" t="s">
        <v>357</v>
      </c>
      <c r="G13" s="12">
        <v>1</v>
      </c>
      <c r="H13" s="12">
        <v>426000</v>
      </c>
      <c r="I13" s="13">
        <v>426000</v>
      </c>
      <c r="J13" s="9">
        <f t="shared" si="0"/>
        <v>426000</v>
      </c>
      <c r="K13" s="9">
        <f t="shared" si="1"/>
        <v>0</v>
      </c>
      <c r="L13" s="4"/>
      <c r="M13" s="4">
        <v>5</v>
      </c>
      <c r="N13" s="4" t="s">
        <v>358</v>
      </c>
      <c r="O13" s="4" t="s">
        <v>52</v>
      </c>
      <c r="P13" s="4"/>
    </row>
    <row r="14" spans="1:16" ht="14" customHeight="1">
      <c r="A14" s="3" t="s">
        <v>381</v>
      </c>
      <c r="B14" s="3" t="s">
        <v>378</v>
      </c>
      <c r="C14" s="3"/>
      <c r="D14" s="3" t="s">
        <v>382</v>
      </c>
      <c r="E14" s="3" t="s">
        <v>86</v>
      </c>
      <c r="F14" s="3" t="s">
        <v>87</v>
      </c>
      <c r="G14" s="10">
        <v>1421.46</v>
      </c>
      <c r="H14" s="10">
        <v>450</v>
      </c>
      <c r="I14" s="11">
        <v>639657</v>
      </c>
      <c r="J14" s="8">
        <f t="shared" si="0"/>
        <v>639657</v>
      </c>
      <c r="K14" s="8">
        <f t="shared" si="1"/>
        <v>0</v>
      </c>
      <c r="L14" s="3" t="s">
        <v>383</v>
      </c>
      <c r="M14" s="3">
        <v>5</v>
      </c>
      <c r="N14" s="3" t="s">
        <v>358</v>
      </c>
      <c r="O14" s="3" t="s">
        <v>52</v>
      </c>
      <c r="P14" s="3"/>
    </row>
    <row r="15" spans="1:16" ht="14" customHeight="1">
      <c r="A15" s="4" t="s">
        <v>384</v>
      </c>
      <c r="B15" s="4" t="s">
        <v>378</v>
      </c>
      <c r="C15" s="4"/>
      <c r="D15" s="4" t="s">
        <v>385</v>
      </c>
      <c r="E15" s="4" t="s">
        <v>90</v>
      </c>
      <c r="F15" s="4" t="s">
        <v>87</v>
      </c>
      <c r="G15" s="12">
        <v>1421.46</v>
      </c>
      <c r="H15" s="12">
        <v>360</v>
      </c>
      <c r="I15" s="13">
        <v>511726</v>
      </c>
      <c r="J15" s="9">
        <f t="shared" si="0"/>
        <v>511726</v>
      </c>
      <c r="K15" s="9">
        <f t="shared" si="1"/>
        <v>0</v>
      </c>
      <c r="L15" s="4" t="s">
        <v>386</v>
      </c>
      <c r="M15" s="4">
        <v>5</v>
      </c>
      <c r="N15" s="4" t="s">
        <v>358</v>
      </c>
      <c r="O15" s="4" t="s">
        <v>52</v>
      </c>
      <c r="P15" s="4"/>
    </row>
    <row r="16" spans="1:16" ht="14" customHeight="1">
      <c r="A16" s="3" t="s">
        <v>387</v>
      </c>
      <c r="B16" s="3" t="s">
        <v>378</v>
      </c>
      <c r="C16" s="3"/>
      <c r="D16" s="3" t="s">
        <v>388</v>
      </c>
      <c r="E16" s="3" t="s">
        <v>389</v>
      </c>
      <c r="F16" s="3" t="s">
        <v>357</v>
      </c>
      <c r="G16" s="10">
        <v>1</v>
      </c>
      <c r="H16" s="10">
        <v>60000</v>
      </c>
      <c r="I16" s="11">
        <v>60000</v>
      </c>
      <c r="J16" s="8">
        <f t="shared" si="0"/>
        <v>60000</v>
      </c>
      <c r="K16" s="8">
        <f t="shared" si="1"/>
        <v>0</v>
      </c>
      <c r="L16" s="3"/>
      <c r="M16" s="3">
        <v>5</v>
      </c>
      <c r="N16" s="3" t="s">
        <v>358</v>
      </c>
      <c r="O16" s="3" t="s">
        <v>52</v>
      </c>
      <c r="P16" s="3"/>
    </row>
    <row r="17" spans="1:16" ht="14" customHeight="1">
      <c r="A17" s="4" t="s">
        <v>390</v>
      </c>
      <c r="B17" s="4" t="s">
        <v>54</v>
      </c>
      <c r="C17" s="4"/>
      <c r="D17" s="4" t="s">
        <v>391</v>
      </c>
      <c r="E17" s="4" t="s">
        <v>392</v>
      </c>
      <c r="F17" s="4" t="s">
        <v>100</v>
      </c>
      <c r="G17" s="12">
        <v>366.55</v>
      </c>
      <c r="H17" s="12">
        <v>31700</v>
      </c>
      <c r="I17" s="13">
        <v>11619635</v>
      </c>
      <c r="J17" s="9">
        <f t="shared" si="0"/>
        <v>11619635</v>
      </c>
      <c r="K17" s="9">
        <f t="shared" si="1"/>
        <v>0</v>
      </c>
      <c r="L17" s="4"/>
      <c r="M17" s="4">
        <v>6</v>
      </c>
      <c r="N17" s="4" t="s">
        <v>358</v>
      </c>
      <c r="O17" s="4" t="s">
        <v>54</v>
      </c>
      <c r="P17" s="4"/>
    </row>
    <row r="18" spans="1:16" ht="14" customHeight="1">
      <c r="A18" s="3" t="s">
        <v>393</v>
      </c>
      <c r="B18" s="3" t="s">
        <v>54</v>
      </c>
      <c r="C18" s="3"/>
      <c r="D18" s="3" t="s">
        <v>394</v>
      </c>
      <c r="E18" s="3" t="s">
        <v>395</v>
      </c>
      <c r="F18" s="3" t="s">
        <v>100</v>
      </c>
      <c r="G18" s="10">
        <v>76.209999999999994</v>
      </c>
      <c r="H18" s="10">
        <v>38200</v>
      </c>
      <c r="I18" s="11">
        <v>2911222</v>
      </c>
      <c r="J18" s="8">
        <f t="shared" si="0"/>
        <v>2911222</v>
      </c>
      <c r="K18" s="8">
        <f t="shared" si="1"/>
        <v>0</v>
      </c>
      <c r="L18" s="3"/>
      <c r="M18" s="3">
        <v>6</v>
      </c>
      <c r="N18" s="3" t="s">
        <v>358</v>
      </c>
      <c r="O18" s="3" t="s">
        <v>54</v>
      </c>
      <c r="P18" s="3"/>
    </row>
    <row r="19" spans="1:16" ht="14" customHeight="1">
      <c r="A19" s="4" t="s">
        <v>396</v>
      </c>
      <c r="B19" s="4" t="s">
        <v>54</v>
      </c>
      <c r="C19" s="4"/>
      <c r="D19" s="4" t="s">
        <v>397</v>
      </c>
      <c r="E19" s="4" t="s">
        <v>398</v>
      </c>
      <c r="F19" s="4" t="s">
        <v>100</v>
      </c>
      <c r="G19" s="12">
        <v>442.76</v>
      </c>
      <c r="H19" s="12">
        <v>6800</v>
      </c>
      <c r="I19" s="13">
        <v>3010768</v>
      </c>
      <c r="J19" s="9">
        <f t="shared" si="0"/>
        <v>3010768</v>
      </c>
      <c r="K19" s="9">
        <f t="shared" si="1"/>
        <v>0</v>
      </c>
      <c r="L19" s="4"/>
      <c r="M19" s="4">
        <v>6</v>
      </c>
      <c r="N19" s="4" t="s">
        <v>358</v>
      </c>
      <c r="O19" s="4" t="s">
        <v>54</v>
      </c>
      <c r="P19" s="4"/>
    </row>
    <row r="20" spans="1:16" ht="14" customHeight="1">
      <c r="A20" s="3" t="s">
        <v>399</v>
      </c>
      <c r="B20" s="3" t="s">
        <v>54</v>
      </c>
      <c r="C20" s="3"/>
      <c r="D20" s="3" t="s">
        <v>400</v>
      </c>
      <c r="E20" s="3" t="s">
        <v>401</v>
      </c>
      <c r="F20" s="3" t="s">
        <v>100</v>
      </c>
      <c r="G20" s="10">
        <v>442.76</v>
      </c>
      <c r="H20" s="10">
        <v>2900</v>
      </c>
      <c r="I20" s="11">
        <v>1284004</v>
      </c>
      <c r="J20" s="8">
        <f t="shared" si="0"/>
        <v>1284004</v>
      </c>
      <c r="K20" s="8">
        <f t="shared" si="1"/>
        <v>0</v>
      </c>
      <c r="L20" s="3"/>
      <c r="M20" s="3">
        <v>6</v>
      </c>
      <c r="N20" s="3" t="s">
        <v>358</v>
      </c>
      <c r="O20" s="3" t="s">
        <v>54</v>
      </c>
      <c r="P20" s="3"/>
    </row>
    <row r="21" spans="1:16" ht="14" customHeight="1">
      <c r="A21" s="4" t="s">
        <v>402</v>
      </c>
      <c r="B21" s="4" t="s">
        <v>54</v>
      </c>
      <c r="C21" s="4"/>
      <c r="D21" s="4" t="s">
        <v>403</v>
      </c>
      <c r="E21" s="4" t="s">
        <v>404</v>
      </c>
      <c r="F21" s="4" t="s">
        <v>100</v>
      </c>
      <c r="G21" s="12">
        <v>442.76</v>
      </c>
      <c r="H21" s="12">
        <v>1700</v>
      </c>
      <c r="I21" s="13">
        <v>752692</v>
      </c>
      <c r="J21" s="9">
        <f t="shared" si="0"/>
        <v>752692</v>
      </c>
      <c r="K21" s="9">
        <f t="shared" si="1"/>
        <v>0</v>
      </c>
      <c r="L21" s="4"/>
      <c r="M21" s="4">
        <v>6</v>
      </c>
      <c r="N21" s="4" t="s">
        <v>358</v>
      </c>
      <c r="O21" s="4" t="s">
        <v>54</v>
      </c>
      <c r="P21" s="4"/>
    </row>
    <row r="22" spans="1:16" ht="14" customHeight="1">
      <c r="A22" s="3" t="s">
        <v>405</v>
      </c>
      <c r="B22" s="3" t="s">
        <v>54</v>
      </c>
      <c r="C22" s="3"/>
      <c r="D22" s="3" t="s">
        <v>406</v>
      </c>
      <c r="E22" s="3" t="s">
        <v>407</v>
      </c>
      <c r="F22" s="3" t="s">
        <v>100</v>
      </c>
      <c r="G22" s="10">
        <v>442.76</v>
      </c>
      <c r="H22" s="10">
        <v>1500</v>
      </c>
      <c r="I22" s="11">
        <v>664140</v>
      </c>
      <c r="J22" s="8">
        <f t="shared" si="0"/>
        <v>664140</v>
      </c>
      <c r="K22" s="8">
        <f t="shared" si="1"/>
        <v>0</v>
      </c>
      <c r="L22" s="3"/>
      <c r="M22" s="3">
        <v>6</v>
      </c>
      <c r="N22" s="3" t="s">
        <v>358</v>
      </c>
      <c r="O22" s="3" t="s">
        <v>54</v>
      </c>
      <c r="P22" s="3"/>
    </row>
    <row r="23" spans="1:16" ht="14" customHeight="1">
      <c r="A23" s="4" t="s">
        <v>408</v>
      </c>
      <c r="B23" s="4" t="s">
        <v>54</v>
      </c>
      <c r="C23" s="4"/>
      <c r="D23" s="4" t="s">
        <v>409</v>
      </c>
      <c r="E23" s="4" t="s">
        <v>410</v>
      </c>
      <c r="F23" s="4" t="s">
        <v>100</v>
      </c>
      <c r="G23" s="12">
        <v>442.76</v>
      </c>
      <c r="H23" s="12">
        <v>6000</v>
      </c>
      <c r="I23" s="13">
        <v>2656560</v>
      </c>
      <c r="J23" s="9">
        <f t="shared" si="0"/>
        <v>2656560</v>
      </c>
      <c r="K23" s="9">
        <f t="shared" si="1"/>
        <v>0</v>
      </c>
      <c r="L23" s="4"/>
      <c r="M23" s="4">
        <v>6</v>
      </c>
      <c r="N23" s="4" t="s">
        <v>358</v>
      </c>
      <c r="O23" s="4" t="s">
        <v>54</v>
      </c>
      <c r="P23" s="4"/>
    </row>
    <row r="24" spans="1:16" ht="14" customHeight="1">
      <c r="A24" s="3" t="s">
        <v>411</v>
      </c>
      <c r="B24" s="3" t="s">
        <v>54</v>
      </c>
      <c r="C24" s="3"/>
      <c r="D24" s="3" t="s">
        <v>412</v>
      </c>
      <c r="E24" s="3" t="s">
        <v>413</v>
      </c>
      <c r="F24" s="3" t="s">
        <v>414</v>
      </c>
      <c r="G24" s="10">
        <v>4664</v>
      </c>
      <c r="H24" s="10">
        <v>88</v>
      </c>
      <c r="I24" s="11">
        <v>410432</v>
      </c>
      <c r="J24" s="8">
        <f t="shared" si="0"/>
        <v>410432</v>
      </c>
      <c r="K24" s="8">
        <f t="shared" si="1"/>
        <v>0</v>
      </c>
      <c r="L24" s="3"/>
      <c r="M24" s="3">
        <v>6</v>
      </c>
      <c r="N24" s="3" t="s">
        <v>358</v>
      </c>
      <c r="O24" s="3" t="s">
        <v>54</v>
      </c>
      <c r="P24" s="3"/>
    </row>
    <row r="25" spans="1:16" ht="14" customHeight="1">
      <c r="A25" s="4" t="s">
        <v>415</v>
      </c>
      <c r="B25" s="4" t="s">
        <v>54</v>
      </c>
      <c r="C25" s="4"/>
      <c r="D25" s="4" t="s">
        <v>416</v>
      </c>
      <c r="E25" s="4" t="s">
        <v>417</v>
      </c>
      <c r="F25" s="4" t="s">
        <v>107</v>
      </c>
      <c r="G25" s="12">
        <v>3867.65</v>
      </c>
      <c r="H25" s="12">
        <v>630</v>
      </c>
      <c r="I25" s="13">
        <v>2436620</v>
      </c>
      <c r="J25" s="9">
        <f t="shared" si="0"/>
        <v>2436620</v>
      </c>
      <c r="K25" s="9">
        <f t="shared" si="1"/>
        <v>0</v>
      </c>
      <c r="L25" s="4"/>
      <c r="M25" s="4">
        <v>6</v>
      </c>
      <c r="N25" s="4" t="s">
        <v>358</v>
      </c>
      <c r="O25" s="4" t="s">
        <v>54</v>
      </c>
      <c r="P25" s="4"/>
    </row>
    <row r="26" spans="1:16" ht="14" customHeight="1">
      <c r="A26" s="3" t="s">
        <v>418</v>
      </c>
      <c r="B26" s="3" t="s">
        <v>54</v>
      </c>
      <c r="C26" s="3"/>
      <c r="D26" s="3" t="s">
        <v>419</v>
      </c>
      <c r="E26" s="3" t="s">
        <v>420</v>
      </c>
      <c r="F26" s="3" t="s">
        <v>421</v>
      </c>
      <c r="G26" s="10">
        <v>14673</v>
      </c>
      <c r="H26" s="10">
        <v>32</v>
      </c>
      <c r="I26" s="11">
        <v>469536</v>
      </c>
      <c r="J26" s="8">
        <f t="shared" si="0"/>
        <v>469536</v>
      </c>
      <c r="K26" s="8">
        <f t="shared" si="1"/>
        <v>0</v>
      </c>
      <c r="L26" s="3"/>
      <c r="M26" s="3">
        <v>6</v>
      </c>
      <c r="N26" s="3" t="s">
        <v>358</v>
      </c>
      <c r="O26" s="3" t="s">
        <v>54</v>
      </c>
      <c r="P26" s="3"/>
    </row>
    <row r="27" spans="1:16" ht="14" customHeight="1">
      <c r="A27" s="4" t="s">
        <v>422</v>
      </c>
      <c r="B27" s="4" t="s">
        <v>54</v>
      </c>
      <c r="C27" s="4"/>
      <c r="D27" s="4" t="s">
        <v>423</v>
      </c>
      <c r="E27" s="4" t="s">
        <v>424</v>
      </c>
      <c r="F27" s="4" t="s">
        <v>421</v>
      </c>
      <c r="G27" s="12">
        <v>9344</v>
      </c>
      <c r="H27" s="12">
        <v>30</v>
      </c>
      <c r="I27" s="13">
        <v>280320</v>
      </c>
      <c r="J27" s="9">
        <f t="shared" si="0"/>
        <v>280320</v>
      </c>
      <c r="K27" s="9">
        <f t="shared" si="1"/>
        <v>0</v>
      </c>
      <c r="L27" s="4"/>
      <c r="M27" s="4">
        <v>6</v>
      </c>
      <c r="N27" s="4" t="s">
        <v>358</v>
      </c>
      <c r="O27" s="4" t="s">
        <v>54</v>
      </c>
      <c r="P27" s="4"/>
    </row>
    <row r="28" spans="1:16" ht="14" customHeight="1">
      <c r="A28" s="3" t="s">
        <v>425</v>
      </c>
      <c r="B28" s="3" t="s">
        <v>54</v>
      </c>
      <c r="C28" s="3"/>
      <c r="D28" s="3" t="s">
        <v>426</v>
      </c>
      <c r="E28" s="3" t="s">
        <v>427</v>
      </c>
      <c r="F28" s="3" t="s">
        <v>151</v>
      </c>
      <c r="G28" s="10">
        <v>1</v>
      </c>
      <c r="H28" s="10">
        <v>428000</v>
      </c>
      <c r="I28" s="11">
        <v>428000</v>
      </c>
      <c r="J28" s="8">
        <f t="shared" si="0"/>
        <v>428000</v>
      </c>
      <c r="K28" s="8">
        <f t="shared" si="1"/>
        <v>0</v>
      </c>
      <c r="L28" s="3"/>
      <c r="M28" s="3">
        <v>6</v>
      </c>
      <c r="N28" s="3" t="s">
        <v>358</v>
      </c>
      <c r="O28" s="3" t="s">
        <v>54</v>
      </c>
      <c r="P28" s="3"/>
    </row>
    <row r="29" spans="1:16" ht="14" customHeight="1">
      <c r="A29" s="4" t="s">
        <v>428</v>
      </c>
      <c r="B29" s="4" t="s">
        <v>54</v>
      </c>
      <c r="C29" s="4"/>
      <c r="D29" s="4" t="s">
        <v>429</v>
      </c>
      <c r="E29" s="4" t="s">
        <v>430</v>
      </c>
      <c r="F29" s="4" t="s">
        <v>151</v>
      </c>
      <c r="G29" s="12">
        <v>1</v>
      </c>
      <c r="H29" s="12">
        <v>608000</v>
      </c>
      <c r="I29" s="13">
        <v>608000</v>
      </c>
      <c r="J29" s="9">
        <f t="shared" si="0"/>
        <v>608000</v>
      </c>
      <c r="K29" s="9">
        <f t="shared" si="1"/>
        <v>0</v>
      </c>
      <c r="L29" s="4"/>
      <c r="M29" s="4">
        <v>6</v>
      </c>
      <c r="N29" s="4" t="s">
        <v>358</v>
      </c>
      <c r="O29" s="4" t="s">
        <v>54</v>
      </c>
      <c r="P29" s="4"/>
    </row>
    <row r="30" spans="1:16" ht="14" customHeight="1">
      <c r="A30" s="3" t="s">
        <v>431</v>
      </c>
      <c r="B30" s="3" t="s">
        <v>54</v>
      </c>
      <c r="C30" s="3"/>
      <c r="D30" s="3" t="s">
        <v>432</v>
      </c>
      <c r="E30" s="3" t="s">
        <v>433</v>
      </c>
      <c r="F30" s="3" t="s">
        <v>434</v>
      </c>
      <c r="G30" s="10">
        <v>400</v>
      </c>
      <c r="H30" s="10">
        <v>1060</v>
      </c>
      <c r="I30" s="11">
        <v>424000</v>
      </c>
      <c r="J30" s="8">
        <f t="shared" si="0"/>
        <v>424000</v>
      </c>
      <c r="K30" s="8">
        <f t="shared" si="1"/>
        <v>0</v>
      </c>
      <c r="L30" s="3"/>
      <c r="M30" s="3">
        <v>6</v>
      </c>
      <c r="N30" s="3" t="s">
        <v>358</v>
      </c>
      <c r="O30" s="3" t="s">
        <v>54</v>
      </c>
      <c r="P30" s="3"/>
    </row>
    <row r="31" spans="1:16" ht="14" customHeight="1">
      <c r="A31" s="4" t="s">
        <v>435</v>
      </c>
      <c r="B31" s="4" t="s">
        <v>54</v>
      </c>
      <c r="C31" s="4"/>
      <c r="D31" s="4" t="s">
        <v>436</v>
      </c>
      <c r="E31" s="4" t="s">
        <v>437</v>
      </c>
      <c r="F31" s="4" t="s">
        <v>438</v>
      </c>
      <c r="G31" s="12">
        <v>34</v>
      </c>
      <c r="H31" s="12">
        <v>4500</v>
      </c>
      <c r="I31" s="13">
        <v>153000</v>
      </c>
      <c r="J31" s="9">
        <f t="shared" si="0"/>
        <v>153000</v>
      </c>
      <c r="K31" s="9">
        <f t="shared" si="1"/>
        <v>0</v>
      </c>
      <c r="L31" s="4"/>
      <c r="M31" s="4">
        <v>6</v>
      </c>
      <c r="N31" s="4" t="s">
        <v>358</v>
      </c>
      <c r="O31" s="4" t="s">
        <v>54</v>
      </c>
      <c r="P31" s="4"/>
    </row>
    <row r="32" spans="1:16" ht="14" customHeight="1">
      <c r="A32" s="3" t="s">
        <v>439</v>
      </c>
      <c r="B32" s="3" t="s">
        <v>54</v>
      </c>
      <c r="C32" s="3"/>
      <c r="D32" s="3" t="s">
        <v>440</v>
      </c>
      <c r="E32" s="3" t="s">
        <v>441</v>
      </c>
      <c r="F32" s="3" t="s">
        <v>414</v>
      </c>
      <c r="G32" s="10">
        <v>4982</v>
      </c>
      <c r="H32" s="10">
        <v>88</v>
      </c>
      <c r="I32" s="11">
        <v>438416</v>
      </c>
      <c r="J32" s="8">
        <f t="shared" si="0"/>
        <v>438416</v>
      </c>
      <c r="K32" s="8">
        <f t="shared" si="1"/>
        <v>0</v>
      </c>
      <c r="L32" s="3" t="s">
        <v>442</v>
      </c>
      <c r="M32" s="3">
        <v>6</v>
      </c>
      <c r="N32" s="3" t="s">
        <v>358</v>
      </c>
      <c r="O32" s="3" t="s">
        <v>54</v>
      </c>
      <c r="P32" s="3"/>
    </row>
    <row r="33" spans="1:16" ht="14" customHeight="1">
      <c r="A33" s="4" t="s">
        <v>443</v>
      </c>
      <c r="B33" s="4" t="s">
        <v>54</v>
      </c>
      <c r="C33" s="4"/>
      <c r="D33" s="4" t="s">
        <v>444</v>
      </c>
      <c r="E33" s="4" t="s">
        <v>445</v>
      </c>
      <c r="F33" s="4" t="s">
        <v>107</v>
      </c>
      <c r="G33" s="12">
        <v>144.19999999999999</v>
      </c>
      <c r="H33" s="12">
        <v>830</v>
      </c>
      <c r="I33" s="13">
        <v>119686</v>
      </c>
      <c r="J33" s="9">
        <f t="shared" si="0"/>
        <v>119686</v>
      </c>
      <c r="K33" s="9">
        <f t="shared" si="1"/>
        <v>0</v>
      </c>
      <c r="L33" s="4"/>
      <c r="M33" s="4">
        <v>6</v>
      </c>
      <c r="N33" s="4" t="s">
        <v>358</v>
      </c>
      <c r="O33" s="4" t="s">
        <v>54</v>
      </c>
      <c r="P33" s="4"/>
    </row>
    <row r="34" spans="1:16" ht="14" customHeight="1">
      <c r="A34" s="3" t="s">
        <v>446</v>
      </c>
      <c r="B34" s="3" t="s">
        <v>54</v>
      </c>
      <c r="C34" s="3"/>
      <c r="D34" s="3" t="s">
        <v>447</v>
      </c>
      <c r="E34" s="3" t="s">
        <v>448</v>
      </c>
      <c r="F34" s="3" t="s">
        <v>100</v>
      </c>
      <c r="G34" s="10">
        <v>442.76</v>
      </c>
      <c r="H34" s="10">
        <v>650</v>
      </c>
      <c r="I34" s="11">
        <v>287794</v>
      </c>
      <c r="J34" s="8">
        <f t="shared" si="0"/>
        <v>287794</v>
      </c>
      <c r="K34" s="8">
        <f t="shared" si="1"/>
        <v>0</v>
      </c>
      <c r="L34" s="3"/>
      <c r="M34" s="3">
        <v>6</v>
      </c>
      <c r="N34" s="3" t="s">
        <v>358</v>
      </c>
      <c r="O34" s="3" t="s">
        <v>54</v>
      </c>
      <c r="P34" s="3"/>
    </row>
    <row r="35" spans="1:16" ht="14" customHeight="1">
      <c r="A35" s="4" t="s">
        <v>449</v>
      </c>
      <c r="B35" s="4" t="s">
        <v>54</v>
      </c>
      <c r="C35" s="4"/>
      <c r="D35" s="4" t="s">
        <v>450</v>
      </c>
      <c r="E35" s="4" t="s">
        <v>451</v>
      </c>
      <c r="F35" s="4" t="s">
        <v>100</v>
      </c>
      <c r="G35" s="12">
        <v>442.76</v>
      </c>
      <c r="H35" s="12">
        <v>1200</v>
      </c>
      <c r="I35" s="13">
        <v>531312</v>
      </c>
      <c r="J35" s="9">
        <f t="shared" si="0"/>
        <v>531312</v>
      </c>
      <c r="K35" s="9">
        <f t="shared" si="1"/>
        <v>0</v>
      </c>
      <c r="L35" s="4"/>
      <c r="M35" s="4">
        <v>6</v>
      </c>
      <c r="N35" s="4" t="s">
        <v>358</v>
      </c>
      <c r="O35" s="4" t="s">
        <v>54</v>
      </c>
      <c r="P35" s="4"/>
    </row>
    <row r="36" spans="1:16" ht="14" customHeight="1">
      <c r="A36" s="3" t="s">
        <v>452</v>
      </c>
      <c r="B36" s="3" t="s">
        <v>54</v>
      </c>
      <c r="C36" s="3"/>
      <c r="D36" s="3" t="s">
        <v>453</v>
      </c>
      <c r="E36" s="3" t="s">
        <v>454</v>
      </c>
      <c r="F36" s="3" t="s">
        <v>421</v>
      </c>
      <c r="G36" s="10">
        <v>4646</v>
      </c>
      <c r="H36" s="10">
        <v>30</v>
      </c>
      <c r="I36" s="11">
        <v>139380</v>
      </c>
      <c r="J36" s="8">
        <f t="shared" si="0"/>
        <v>139380</v>
      </c>
      <c r="K36" s="8">
        <f t="shared" si="1"/>
        <v>0</v>
      </c>
      <c r="L36" s="3"/>
      <c r="M36" s="3">
        <v>6</v>
      </c>
      <c r="N36" s="3" t="s">
        <v>358</v>
      </c>
      <c r="O36" s="3" t="s">
        <v>54</v>
      </c>
      <c r="P36" s="3"/>
    </row>
    <row r="37" spans="1:16" ht="14" customHeight="1">
      <c r="A37" s="4" t="s">
        <v>455</v>
      </c>
      <c r="B37" s="4" t="s">
        <v>54</v>
      </c>
      <c r="C37" s="4"/>
      <c r="D37" s="4" t="s">
        <v>456</v>
      </c>
      <c r="E37" s="4" t="s">
        <v>457</v>
      </c>
      <c r="F37" s="4" t="s">
        <v>107</v>
      </c>
      <c r="G37" s="12">
        <v>5731.95</v>
      </c>
      <c r="H37" s="12">
        <v>265</v>
      </c>
      <c r="I37" s="13">
        <v>1518967</v>
      </c>
      <c r="J37" s="9">
        <f t="shared" si="0"/>
        <v>1518967</v>
      </c>
      <c r="K37" s="9">
        <f t="shared" si="1"/>
        <v>0</v>
      </c>
      <c r="L37" s="4" t="s">
        <v>458</v>
      </c>
      <c r="M37" s="4">
        <v>6</v>
      </c>
      <c r="N37" s="4" t="s">
        <v>358</v>
      </c>
      <c r="O37" s="4" t="s">
        <v>54</v>
      </c>
      <c r="P37" s="4"/>
    </row>
    <row r="38" spans="1:16" ht="14" customHeight="1">
      <c r="A38" s="3" t="s">
        <v>459</v>
      </c>
      <c r="B38" s="3" t="s">
        <v>54</v>
      </c>
      <c r="C38" s="3"/>
      <c r="D38" s="3" t="s">
        <v>460</v>
      </c>
      <c r="E38" s="3" t="s">
        <v>461</v>
      </c>
      <c r="F38" s="3" t="s">
        <v>151</v>
      </c>
      <c r="G38" s="10">
        <v>1</v>
      </c>
      <c r="H38" s="10">
        <v>32000</v>
      </c>
      <c r="I38" s="11">
        <v>32000</v>
      </c>
      <c r="J38" s="8">
        <f t="shared" si="0"/>
        <v>32000</v>
      </c>
      <c r="K38" s="8">
        <f t="shared" si="1"/>
        <v>0</v>
      </c>
      <c r="L38" s="3"/>
      <c r="M38" s="3">
        <v>6</v>
      </c>
      <c r="N38" s="3" t="s">
        <v>358</v>
      </c>
      <c r="O38" s="3" t="s">
        <v>54</v>
      </c>
      <c r="P38" s="3"/>
    </row>
    <row r="39" spans="1:16" ht="14" customHeight="1">
      <c r="A39" s="4" t="s">
        <v>462</v>
      </c>
      <c r="B39" s="4" t="s">
        <v>54</v>
      </c>
      <c r="C39" s="4"/>
      <c r="D39" s="4" t="s">
        <v>463</v>
      </c>
      <c r="E39" s="4" t="s">
        <v>464</v>
      </c>
      <c r="F39" s="4" t="s">
        <v>151</v>
      </c>
      <c r="G39" s="12">
        <v>1</v>
      </c>
      <c r="H39" s="12">
        <v>46000</v>
      </c>
      <c r="I39" s="13">
        <v>46000</v>
      </c>
      <c r="J39" s="9">
        <f t="shared" si="0"/>
        <v>46000</v>
      </c>
      <c r="K39" s="9">
        <f t="shared" si="1"/>
        <v>0</v>
      </c>
      <c r="L39" s="4"/>
      <c r="M39" s="4">
        <v>6</v>
      </c>
      <c r="N39" s="4" t="s">
        <v>358</v>
      </c>
      <c r="O39" s="4" t="s">
        <v>54</v>
      </c>
      <c r="P39" s="4"/>
    </row>
    <row r="40" spans="1:16" ht="14" customHeight="1">
      <c r="A40" s="3" t="s">
        <v>465</v>
      </c>
      <c r="B40" s="3" t="s">
        <v>54</v>
      </c>
      <c r="C40" s="3"/>
      <c r="D40" s="3" t="s">
        <v>466</v>
      </c>
      <c r="E40" s="3" t="s">
        <v>467</v>
      </c>
      <c r="F40" s="3" t="s">
        <v>357</v>
      </c>
      <c r="G40" s="10">
        <v>1</v>
      </c>
      <c r="H40" s="10">
        <v>80000</v>
      </c>
      <c r="I40" s="11">
        <v>80000</v>
      </c>
      <c r="J40" s="8">
        <f t="shared" si="0"/>
        <v>80000</v>
      </c>
      <c r="K40" s="8">
        <f t="shared" si="1"/>
        <v>0</v>
      </c>
      <c r="L40" s="3" t="s">
        <v>468</v>
      </c>
      <c r="M40" s="3">
        <v>6</v>
      </c>
      <c r="N40" s="3" t="s">
        <v>358</v>
      </c>
      <c r="O40" s="3" t="s">
        <v>54</v>
      </c>
      <c r="P40" s="3"/>
    </row>
    <row r="41" spans="1:16" ht="14" customHeight="1">
      <c r="A41" s="4" t="s">
        <v>469</v>
      </c>
      <c r="B41" s="4" t="s">
        <v>470</v>
      </c>
      <c r="C41" s="4"/>
      <c r="D41" s="4" t="s">
        <v>471</v>
      </c>
      <c r="E41" s="4" t="s">
        <v>472</v>
      </c>
      <c r="F41" s="4" t="s">
        <v>473</v>
      </c>
      <c r="G41" s="12">
        <v>96.04</v>
      </c>
      <c r="H41" s="12">
        <v>27900</v>
      </c>
      <c r="I41" s="13">
        <v>2679516</v>
      </c>
      <c r="J41" s="9">
        <f t="shared" si="0"/>
        <v>2679516</v>
      </c>
      <c r="K41" s="9">
        <f t="shared" si="1"/>
        <v>0</v>
      </c>
      <c r="L41" s="4" t="s">
        <v>474</v>
      </c>
      <c r="M41" s="4">
        <v>7</v>
      </c>
      <c r="N41" s="4" t="s">
        <v>358</v>
      </c>
      <c r="O41" s="4" t="s">
        <v>52</v>
      </c>
      <c r="P41" s="4"/>
    </row>
    <row r="42" spans="1:16" ht="14" customHeight="1">
      <c r="A42" s="3" t="s">
        <v>475</v>
      </c>
      <c r="B42" s="3" t="s">
        <v>470</v>
      </c>
      <c r="C42" s="3"/>
      <c r="D42" s="3" t="s">
        <v>476</v>
      </c>
      <c r="E42" s="3" t="s">
        <v>477</v>
      </c>
      <c r="F42" s="3" t="s">
        <v>473</v>
      </c>
      <c r="G42" s="10">
        <v>252.07</v>
      </c>
      <c r="H42" s="10">
        <v>28700</v>
      </c>
      <c r="I42" s="11">
        <v>7234409</v>
      </c>
      <c r="J42" s="8">
        <f t="shared" si="0"/>
        <v>7234409</v>
      </c>
      <c r="K42" s="8">
        <f t="shared" si="1"/>
        <v>0</v>
      </c>
      <c r="L42" s="3"/>
      <c r="M42" s="3">
        <v>7</v>
      </c>
      <c r="N42" s="3" t="s">
        <v>358</v>
      </c>
      <c r="O42" s="3" t="s">
        <v>52</v>
      </c>
      <c r="P42" s="3"/>
    </row>
    <row r="43" spans="1:16" ht="14" customHeight="1">
      <c r="A43" s="4" t="s">
        <v>478</v>
      </c>
      <c r="B43" s="4" t="s">
        <v>470</v>
      </c>
      <c r="C43" s="4"/>
      <c r="D43" s="4" t="s">
        <v>479</v>
      </c>
      <c r="E43" s="4" t="s">
        <v>480</v>
      </c>
      <c r="F43" s="4" t="s">
        <v>107</v>
      </c>
      <c r="G43" s="12">
        <v>70.91</v>
      </c>
      <c r="H43" s="12">
        <v>306</v>
      </c>
      <c r="I43" s="13">
        <v>21698</v>
      </c>
      <c r="J43" s="9">
        <f t="shared" si="0"/>
        <v>21698</v>
      </c>
      <c r="K43" s="9">
        <f t="shared" si="1"/>
        <v>0</v>
      </c>
      <c r="L43" s="4"/>
      <c r="M43" s="4">
        <v>7</v>
      </c>
      <c r="N43" s="4" t="s">
        <v>358</v>
      </c>
      <c r="O43" s="4" t="s">
        <v>52</v>
      </c>
      <c r="P43" s="4"/>
    </row>
    <row r="44" spans="1:16" ht="14" customHeight="1">
      <c r="A44" s="3" t="s">
        <v>481</v>
      </c>
      <c r="B44" s="3" t="s">
        <v>470</v>
      </c>
      <c r="C44" s="3"/>
      <c r="D44" s="3" t="s">
        <v>482</v>
      </c>
      <c r="E44" s="3" t="s">
        <v>483</v>
      </c>
      <c r="F44" s="3" t="s">
        <v>87</v>
      </c>
      <c r="G44" s="10">
        <v>286.35000000000002</v>
      </c>
      <c r="H44" s="10">
        <v>2940</v>
      </c>
      <c r="I44" s="11">
        <v>841869</v>
      </c>
      <c r="J44" s="8">
        <f t="shared" si="0"/>
        <v>841869</v>
      </c>
      <c r="K44" s="8">
        <f t="shared" si="1"/>
        <v>0</v>
      </c>
      <c r="L44" s="3" t="s">
        <v>484</v>
      </c>
      <c r="M44" s="3">
        <v>7</v>
      </c>
      <c r="N44" s="3" t="s">
        <v>358</v>
      </c>
      <c r="O44" s="3" t="s">
        <v>52</v>
      </c>
      <c r="P44" s="3"/>
    </row>
    <row r="45" spans="1:16" ht="14" customHeight="1">
      <c r="A45" s="4" t="s">
        <v>485</v>
      </c>
      <c r="B45" s="4" t="s">
        <v>470</v>
      </c>
      <c r="C45" s="4"/>
      <c r="D45" s="4" t="s">
        <v>486</v>
      </c>
      <c r="E45" s="4" t="s">
        <v>487</v>
      </c>
      <c r="F45" s="4" t="s">
        <v>87</v>
      </c>
      <c r="G45" s="12">
        <v>2747.47</v>
      </c>
      <c r="H45" s="12">
        <v>3240</v>
      </c>
      <c r="I45" s="13">
        <v>8901803</v>
      </c>
      <c r="J45" s="9">
        <f t="shared" si="0"/>
        <v>8901803</v>
      </c>
      <c r="K45" s="9">
        <f t="shared" si="1"/>
        <v>0</v>
      </c>
      <c r="L45" s="4" t="s">
        <v>488</v>
      </c>
      <c r="M45" s="4">
        <v>7</v>
      </c>
      <c r="N45" s="4" t="s">
        <v>358</v>
      </c>
      <c r="O45" s="4" t="s">
        <v>52</v>
      </c>
      <c r="P45" s="4"/>
    </row>
    <row r="46" spans="1:16" ht="14" customHeight="1">
      <c r="A46" s="3" t="s">
        <v>489</v>
      </c>
      <c r="B46" s="3" t="s">
        <v>470</v>
      </c>
      <c r="C46" s="3"/>
      <c r="D46" s="3" t="s">
        <v>490</v>
      </c>
      <c r="E46" s="3" t="s">
        <v>491</v>
      </c>
      <c r="F46" s="3" t="s">
        <v>492</v>
      </c>
      <c r="G46" s="10">
        <v>1189.5</v>
      </c>
      <c r="H46" s="10">
        <v>360</v>
      </c>
      <c r="I46" s="11">
        <v>428220</v>
      </c>
      <c r="J46" s="8">
        <f t="shared" si="0"/>
        <v>428220</v>
      </c>
      <c r="K46" s="8">
        <f t="shared" si="1"/>
        <v>0</v>
      </c>
      <c r="L46" s="3"/>
      <c r="M46" s="3">
        <v>7</v>
      </c>
      <c r="N46" s="3" t="s">
        <v>358</v>
      </c>
      <c r="O46" s="3" t="s">
        <v>52</v>
      </c>
      <c r="P46" s="3"/>
    </row>
    <row r="47" spans="1:16" ht="14" customHeight="1">
      <c r="A47" s="4" t="s">
        <v>493</v>
      </c>
      <c r="B47" s="4" t="s">
        <v>470</v>
      </c>
      <c r="C47" s="4"/>
      <c r="D47" s="4" t="s">
        <v>494</v>
      </c>
      <c r="E47" s="4" t="s">
        <v>495</v>
      </c>
      <c r="F47" s="4" t="s">
        <v>107</v>
      </c>
      <c r="G47" s="12">
        <v>12533.35</v>
      </c>
      <c r="H47" s="12">
        <v>1050</v>
      </c>
      <c r="I47" s="13">
        <v>13160018</v>
      </c>
      <c r="J47" s="9">
        <f t="shared" si="0"/>
        <v>13160018</v>
      </c>
      <c r="K47" s="9">
        <f t="shared" si="1"/>
        <v>0</v>
      </c>
      <c r="L47" s="4"/>
      <c r="M47" s="4">
        <v>7</v>
      </c>
      <c r="N47" s="4" t="s">
        <v>358</v>
      </c>
      <c r="O47" s="4" t="s">
        <v>52</v>
      </c>
      <c r="P47" s="4"/>
    </row>
    <row r="48" spans="1:16" ht="14" customHeight="1">
      <c r="A48" s="3" t="s">
        <v>496</v>
      </c>
      <c r="B48" s="3" t="s">
        <v>470</v>
      </c>
      <c r="C48" s="3"/>
      <c r="D48" s="3" t="s">
        <v>497</v>
      </c>
      <c r="E48" s="3" t="s">
        <v>498</v>
      </c>
      <c r="F48" s="3" t="s">
        <v>107</v>
      </c>
      <c r="G48" s="10">
        <v>7913.92</v>
      </c>
      <c r="H48" s="10">
        <v>280</v>
      </c>
      <c r="I48" s="11">
        <v>2215898</v>
      </c>
      <c r="J48" s="8">
        <f t="shared" si="0"/>
        <v>2215898</v>
      </c>
      <c r="K48" s="8">
        <f t="shared" si="1"/>
        <v>0</v>
      </c>
      <c r="L48" s="3"/>
      <c r="M48" s="3">
        <v>7</v>
      </c>
      <c r="N48" s="3" t="s">
        <v>358</v>
      </c>
      <c r="O48" s="3" t="s">
        <v>52</v>
      </c>
      <c r="P48" s="3"/>
    </row>
    <row r="49" spans="1:16" ht="14" customHeight="1">
      <c r="A49" s="4" t="s">
        <v>499</v>
      </c>
      <c r="B49" s="4" t="s">
        <v>470</v>
      </c>
      <c r="C49" s="4"/>
      <c r="D49" s="4" t="s">
        <v>500</v>
      </c>
      <c r="E49" s="4" t="s">
        <v>501</v>
      </c>
      <c r="F49" s="4" t="s">
        <v>162</v>
      </c>
      <c r="G49" s="12">
        <v>4655.22</v>
      </c>
      <c r="H49" s="12">
        <v>110</v>
      </c>
      <c r="I49" s="13">
        <v>512074</v>
      </c>
      <c r="J49" s="9">
        <f t="shared" si="0"/>
        <v>512074</v>
      </c>
      <c r="K49" s="9">
        <f t="shared" si="1"/>
        <v>0</v>
      </c>
      <c r="L49" s="4"/>
      <c r="M49" s="4">
        <v>7</v>
      </c>
      <c r="N49" s="4" t="s">
        <v>358</v>
      </c>
      <c r="O49" s="4" t="s">
        <v>52</v>
      </c>
      <c r="P49" s="4"/>
    </row>
    <row r="50" spans="1:16" ht="14" customHeight="1">
      <c r="A50" s="3" t="s">
        <v>502</v>
      </c>
      <c r="B50" s="3" t="s">
        <v>470</v>
      </c>
      <c r="C50" s="3"/>
      <c r="D50" s="3" t="s">
        <v>503</v>
      </c>
      <c r="E50" s="3" t="s">
        <v>504</v>
      </c>
      <c r="F50" s="3" t="s">
        <v>107</v>
      </c>
      <c r="G50" s="10">
        <v>3901.02</v>
      </c>
      <c r="H50" s="10">
        <v>65</v>
      </c>
      <c r="I50" s="11">
        <v>253566</v>
      </c>
      <c r="J50" s="8">
        <f t="shared" si="0"/>
        <v>253566</v>
      </c>
      <c r="K50" s="8">
        <f t="shared" si="1"/>
        <v>0</v>
      </c>
      <c r="L50" s="3"/>
      <c r="M50" s="3">
        <v>7</v>
      </c>
      <c r="N50" s="3" t="s">
        <v>358</v>
      </c>
      <c r="O50" s="3" t="s">
        <v>52</v>
      </c>
      <c r="P50" s="3"/>
    </row>
    <row r="51" spans="1:16" ht="14" customHeight="1">
      <c r="A51" s="4" t="s">
        <v>505</v>
      </c>
      <c r="B51" s="4" t="s">
        <v>470</v>
      </c>
      <c r="C51" s="4"/>
      <c r="D51" s="4" t="s">
        <v>506</v>
      </c>
      <c r="E51" s="4" t="s">
        <v>507</v>
      </c>
      <c r="F51" s="4" t="s">
        <v>162</v>
      </c>
      <c r="G51" s="12">
        <v>708.04</v>
      </c>
      <c r="H51" s="12">
        <v>150</v>
      </c>
      <c r="I51" s="13">
        <v>106206</v>
      </c>
      <c r="J51" s="9">
        <f t="shared" si="0"/>
        <v>106206</v>
      </c>
      <c r="K51" s="9">
        <f t="shared" si="1"/>
        <v>0</v>
      </c>
      <c r="L51" s="4"/>
      <c r="M51" s="4">
        <v>7</v>
      </c>
      <c r="N51" s="4" t="s">
        <v>358</v>
      </c>
      <c r="O51" s="4" t="s">
        <v>52</v>
      </c>
      <c r="P51" s="4"/>
    </row>
    <row r="52" spans="1:16" ht="14" customHeight="1">
      <c r="A52" s="3" t="s">
        <v>508</v>
      </c>
      <c r="B52" s="3" t="s">
        <v>470</v>
      </c>
      <c r="C52" s="3"/>
      <c r="D52" s="3" t="s">
        <v>509</v>
      </c>
      <c r="E52" s="3" t="s">
        <v>510</v>
      </c>
      <c r="F52" s="3" t="s">
        <v>434</v>
      </c>
      <c r="G52" s="10">
        <v>18</v>
      </c>
      <c r="H52" s="10">
        <v>420</v>
      </c>
      <c r="I52" s="11">
        <v>7560</v>
      </c>
      <c r="J52" s="8">
        <f t="shared" si="0"/>
        <v>7560</v>
      </c>
      <c r="K52" s="8">
        <f t="shared" si="1"/>
        <v>0</v>
      </c>
      <c r="L52" s="3"/>
      <c r="M52" s="3">
        <v>7</v>
      </c>
      <c r="N52" s="3" t="s">
        <v>358</v>
      </c>
      <c r="O52" s="3" t="s">
        <v>52</v>
      </c>
      <c r="P52" s="3"/>
    </row>
    <row r="53" spans="1:16" ht="14" customHeight="1">
      <c r="A53" s="4" t="s">
        <v>511</v>
      </c>
      <c r="B53" s="4" t="s">
        <v>470</v>
      </c>
      <c r="C53" s="4"/>
      <c r="D53" s="4" t="s">
        <v>512</v>
      </c>
      <c r="E53" s="4" t="s">
        <v>513</v>
      </c>
      <c r="F53" s="4" t="s">
        <v>162</v>
      </c>
      <c r="G53" s="12">
        <v>16.97</v>
      </c>
      <c r="H53" s="12">
        <v>650</v>
      </c>
      <c r="I53" s="13">
        <v>11031</v>
      </c>
      <c r="J53" s="9">
        <f t="shared" si="0"/>
        <v>11031</v>
      </c>
      <c r="K53" s="9">
        <f t="shared" si="1"/>
        <v>0</v>
      </c>
      <c r="L53" s="4"/>
      <c r="M53" s="4">
        <v>7</v>
      </c>
      <c r="N53" s="4" t="s">
        <v>358</v>
      </c>
      <c r="O53" s="4" t="s">
        <v>52</v>
      </c>
      <c r="P53" s="4"/>
    </row>
    <row r="54" spans="1:16" ht="14" customHeight="1">
      <c r="A54" s="3" t="s">
        <v>514</v>
      </c>
      <c r="B54" s="3" t="s">
        <v>470</v>
      </c>
      <c r="C54" s="3"/>
      <c r="D54" s="3" t="s">
        <v>515</v>
      </c>
      <c r="E54" s="3" t="s">
        <v>516</v>
      </c>
      <c r="F54" s="3" t="s">
        <v>162</v>
      </c>
      <c r="G54" s="10">
        <v>476.31</v>
      </c>
      <c r="H54" s="10">
        <v>260</v>
      </c>
      <c r="I54" s="11">
        <v>123841</v>
      </c>
      <c r="J54" s="8">
        <f t="shared" si="0"/>
        <v>123841</v>
      </c>
      <c r="K54" s="8">
        <f t="shared" si="1"/>
        <v>0</v>
      </c>
      <c r="L54" s="3"/>
      <c r="M54" s="3">
        <v>7</v>
      </c>
      <c r="N54" s="3" t="s">
        <v>358</v>
      </c>
      <c r="O54" s="3" t="s">
        <v>52</v>
      </c>
      <c r="P54" s="3"/>
    </row>
    <row r="55" spans="1:16" ht="14" customHeight="1">
      <c r="A55" s="4" t="s">
        <v>517</v>
      </c>
      <c r="B55" s="4" t="s">
        <v>470</v>
      </c>
      <c r="C55" s="4"/>
      <c r="D55" s="4" t="s">
        <v>518</v>
      </c>
      <c r="E55" s="4" t="s">
        <v>519</v>
      </c>
      <c r="F55" s="4" t="s">
        <v>421</v>
      </c>
      <c r="G55" s="12">
        <v>118</v>
      </c>
      <c r="H55" s="12">
        <v>350</v>
      </c>
      <c r="I55" s="13">
        <v>41300</v>
      </c>
      <c r="J55" s="9">
        <f t="shared" si="0"/>
        <v>41300</v>
      </c>
      <c r="K55" s="9">
        <f t="shared" si="1"/>
        <v>0</v>
      </c>
      <c r="L55" s="4"/>
      <c r="M55" s="4">
        <v>7</v>
      </c>
      <c r="N55" s="4" t="s">
        <v>358</v>
      </c>
      <c r="O55" s="4" t="s">
        <v>52</v>
      </c>
      <c r="P55" s="4"/>
    </row>
    <row r="56" spans="1:16" ht="14" customHeight="1">
      <c r="A56" s="3" t="s">
        <v>520</v>
      </c>
      <c r="B56" s="3" t="s">
        <v>470</v>
      </c>
      <c r="C56" s="3"/>
      <c r="D56" s="3" t="s">
        <v>521</v>
      </c>
      <c r="E56" s="3" t="s">
        <v>522</v>
      </c>
      <c r="F56" s="3" t="s">
        <v>151</v>
      </c>
      <c r="G56" s="10">
        <v>23</v>
      </c>
      <c r="H56" s="10">
        <v>900</v>
      </c>
      <c r="I56" s="11">
        <v>20700</v>
      </c>
      <c r="J56" s="8">
        <f t="shared" si="0"/>
        <v>20700</v>
      </c>
      <c r="K56" s="8">
        <f t="shared" si="1"/>
        <v>0</v>
      </c>
      <c r="L56" s="3"/>
      <c r="M56" s="3">
        <v>7</v>
      </c>
      <c r="N56" s="3" t="s">
        <v>358</v>
      </c>
      <c r="O56" s="3" t="s">
        <v>52</v>
      </c>
      <c r="P56" s="3"/>
    </row>
    <row r="57" spans="1:16" ht="14" customHeight="1">
      <c r="A57" s="4" t="s">
        <v>523</v>
      </c>
      <c r="B57" s="4" t="s">
        <v>470</v>
      </c>
      <c r="C57" s="4"/>
      <c r="D57" s="4" t="s">
        <v>524</v>
      </c>
      <c r="E57" s="4" t="s">
        <v>525</v>
      </c>
      <c r="F57" s="4" t="s">
        <v>107</v>
      </c>
      <c r="G57" s="12">
        <v>3215.95</v>
      </c>
      <c r="H57" s="12">
        <v>346</v>
      </c>
      <c r="I57" s="13">
        <v>1112719</v>
      </c>
      <c r="J57" s="9">
        <f t="shared" si="0"/>
        <v>1112719</v>
      </c>
      <c r="K57" s="9">
        <f t="shared" si="1"/>
        <v>0</v>
      </c>
      <c r="L57" s="4"/>
      <c r="M57" s="4">
        <v>7</v>
      </c>
      <c r="N57" s="4" t="s">
        <v>358</v>
      </c>
      <c r="O57" s="4" t="s">
        <v>52</v>
      </c>
      <c r="P57" s="4"/>
    </row>
    <row r="58" spans="1:16" ht="14" customHeight="1">
      <c r="A58" s="3" t="s">
        <v>526</v>
      </c>
      <c r="B58" s="3" t="s">
        <v>470</v>
      </c>
      <c r="C58" s="3"/>
      <c r="D58" s="3" t="s">
        <v>527</v>
      </c>
      <c r="E58" s="3" t="s">
        <v>528</v>
      </c>
      <c r="F58" s="3" t="s">
        <v>87</v>
      </c>
      <c r="G58" s="10">
        <v>687.55</v>
      </c>
      <c r="H58" s="10">
        <v>250</v>
      </c>
      <c r="I58" s="11">
        <v>171888</v>
      </c>
      <c r="J58" s="8">
        <f t="shared" si="0"/>
        <v>171888</v>
      </c>
      <c r="K58" s="8">
        <f t="shared" si="1"/>
        <v>0</v>
      </c>
      <c r="L58" s="3"/>
      <c r="M58" s="3">
        <v>7</v>
      </c>
      <c r="N58" s="3" t="s">
        <v>358</v>
      </c>
      <c r="O58" s="3" t="s">
        <v>52</v>
      </c>
      <c r="P58" s="3"/>
    </row>
    <row r="59" spans="1:16" ht="14" customHeight="1">
      <c r="A59" s="4" t="s">
        <v>529</v>
      </c>
      <c r="B59" s="4" t="s">
        <v>470</v>
      </c>
      <c r="C59" s="4"/>
      <c r="D59" s="4" t="s">
        <v>530</v>
      </c>
      <c r="E59" s="4" t="s">
        <v>531</v>
      </c>
      <c r="F59" s="4" t="s">
        <v>434</v>
      </c>
      <c r="G59" s="12">
        <v>4</v>
      </c>
      <c r="H59" s="12">
        <v>12000</v>
      </c>
      <c r="I59" s="13">
        <v>48000</v>
      </c>
      <c r="J59" s="9">
        <f t="shared" si="0"/>
        <v>48000</v>
      </c>
      <c r="K59" s="9">
        <f t="shared" si="1"/>
        <v>0</v>
      </c>
      <c r="L59" s="4"/>
      <c r="M59" s="4">
        <v>7</v>
      </c>
      <c r="N59" s="4" t="s">
        <v>358</v>
      </c>
      <c r="O59" s="4" t="s">
        <v>52</v>
      </c>
      <c r="P59" s="4"/>
    </row>
    <row r="60" spans="1:16" ht="14" customHeight="1">
      <c r="A60" s="3" t="s">
        <v>532</v>
      </c>
      <c r="B60" s="3" t="s">
        <v>470</v>
      </c>
      <c r="C60" s="3"/>
      <c r="D60" s="3" t="s">
        <v>533</v>
      </c>
      <c r="E60" s="3" t="s">
        <v>534</v>
      </c>
      <c r="F60" s="3" t="s">
        <v>100</v>
      </c>
      <c r="G60" s="10">
        <v>110.35</v>
      </c>
      <c r="H60" s="10">
        <v>380</v>
      </c>
      <c r="I60" s="11">
        <v>41933</v>
      </c>
      <c r="J60" s="8">
        <f t="shared" si="0"/>
        <v>41933</v>
      </c>
      <c r="K60" s="8">
        <f t="shared" si="1"/>
        <v>0</v>
      </c>
      <c r="L60" s="3"/>
      <c r="M60" s="3">
        <v>7</v>
      </c>
      <c r="N60" s="3" t="s">
        <v>358</v>
      </c>
      <c r="O60" s="3" t="s">
        <v>52</v>
      </c>
      <c r="P60" s="3"/>
    </row>
    <row r="61" spans="1:16" ht="14" customHeight="1">
      <c r="A61" s="4" t="s">
        <v>535</v>
      </c>
      <c r="B61" s="4" t="s">
        <v>470</v>
      </c>
      <c r="C61" s="4"/>
      <c r="D61" s="4" t="s">
        <v>536</v>
      </c>
      <c r="E61" s="4" t="s">
        <v>537</v>
      </c>
      <c r="F61" s="4" t="s">
        <v>107</v>
      </c>
      <c r="G61" s="12">
        <v>1541.22</v>
      </c>
      <c r="H61" s="12">
        <v>144</v>
      </c>
      <c r="I61" s="13">
        <v>221936</v>
      </c>
      <c r="J61" s="9">
        <f t="shared" si="0"/>
        <v>221936</v>
      </c>
      <c r="K61" s="9">
        <f t="shared" si="1"/>
        <v>0</v>
      </c>
      <c r="L61" s="4"/>
      <c r="M61" s="4">
        <v>7</v>
      </c>
      <c r="N61" s="4" t="s">
        <v>358</v>
      </c>
      <c r="O61" s="4" t="s">
        <v>52</v>
      </c>
      <c r="P61" s="4"/>
    </row>
    <row r="62" spans="1:16" ht="14" customHeight="1">
      <c r="A62" s="3" t="s">
        <v>538</v>
      </c>
      <c r="B62" s="3" t="s">
        <v>539</v>
      </c>
      <c r="C62" s="3"/>
      <c r="D62" s="3" t="s">
        <v>540</v>
      </c>
      <c r="E62" s="3" t="s">
        <v>541</v>
      </c>
      <c r="F62" s="3" t="s">
        <v>107</v>
      </c>
      <c r="G62" s="10">
        <v>6317.2</v>
      </c>
      <c r="H62" s="10">
        <v>70</v>
      </c>
      <c r="I62" s="11">
        <v>442204</v>
      </c>
      <c r="J62" s="8">
        <f t="shared" si="0"/>
        <v>442204</v>
      </c>
      <c r="K62" s="8">
        <f t="shared" si="1"/>
        <v>0</v>
      </c>
      <c r="L62" s="3"/>
      <c r="M62" s="3">
        <v>8</v>
      </c>
      <c r="N62" s="3" t="s">
        <v>358</v>
      </c>
      <c r="O62" s="3" t="s">
        <v>56</v>
      </c>
      <c r="P62" s="3"/>
    </row>
    <row r="63" spans="1:16" ht="14" customHeight="1">
      <c r="A63" s="4" t="s">
        <v>542</v>
      </c>
      <c r="B63" s="4" t="s">
        <v>539</v>
      </c>
      <c r="C63" s="4"/>
      <c r="D63" s="4" t="s">
        <v>543</v>
      </c>
      <c r="E63" s="4" t="s">
        <v>544</v>
      </c>
      <c r="F63" s="4" t="s">
        <v>107</v>
      </c>
      <c r="G63" s="12">
        <v>96.1</v>
      </c>
      <c r="H63" s="12">
        <v>1730</v>
      </c>
      <c r="I63" s="13">
        <v>166253</v>
      </c>
      <c r="J63" s="9">
        <f t="shared" si="0"/>
        <v>166253</v>
      </c>
      <c r="K63" s="9">
        <f t="shared" si="1"/>
        <v>0</v>
      </c>
      <c r="L63" s="4" t="s">
        <v>545</v>
      </c>
      <c r="M63" s="4">
        <v>8</v>
      </c>
      <c r="N63" s="4" t="s">
        <v>358</v>
      </c>
      <c r="O63" s="4" t="s">
        <v>56</v>
      </c>
      <c r="P63" s="4"/>
    </row>
    <row r="64" spans="1:16" ht="14" customHeight="1">
      <c r="A64" s="3" t="s">
        <v>546</v>
      </c>
      <c r="B64" s="3" t="s">
        <v>539</v>
      </c>
      <c r="C64" s="3"/>
      <c r="D64" s="3" t="s">
        <v>547</v>
      </c>
      <c r="E64" s="3" t="s">
        <v>548</v>
      </c>
      <c r="F64" s="3" t="s">
        <v>107</v>
      </c>
      <c r="G64" s="10">
        <v>425.8</v>
      </c>
      <c r="H64" s="10">
        <v>1620</v>
      </c>
      <c r="I64" s="11">
        <v>689796</v>
      </c>
      <c r="J64" s="8">
        <f t="shared" si="0"/>
        <v>689796</v>
      </c>
      <c r="K64" s="8">
        <f t="shared" si="1"/>
        <v>0</v>
      </c>
      <c r="L64" s="3" t="s">
        <v>549</v>
      </c>
      <c r="M64" s="3">
        <v>8</v>
      </c>
      <c r="N64" s="3" t="s">
        <v>358</v>
      </c>
      <c r="O64" s="3" t="s">
        <v>56</v>
      </c>
      <c r="P64" s="3"/>
    </row>
    <row r="65" spans="1:16" ht="14" customHeight="1">
      <c r="A65" s="4" t="s">
        <v>550</v>
      </c>
      <c r="B65" s="4" t="s">
        <v>539</v>
      </c>
      <c r="C65" s="4"/>
      <c r="D65" s="4" t="s">
        <v>551</v>
      </c>
      <c r="E65" s="4" t="s">
        <v>552</v>
      </c>
      <c r="F65" s="4" t="s">
        <v>162</v>
      </c>
      <c r="G65" s="12">
        <v>179.74</v>
      </c>
      <c r="H65" s="12">
        <v>600</v>
      </c>
      <c r="I65" s="13">
        <v>107844</v>
      </c>
      <c r="J65" s="9">
        <f t="shared" si="0"/>
        <v>107844</v>
      </c>
      <c r="K65" s="9">
        <f t="shared" si="1"/>
        <v>0</v>
      </c>
      <c r="L65" s="4"/>
      <c r="M65" s="4">
        <v>8</v>
      </c>
      <c r="N65" s="4" t="s">
        <v>358</v>
      </c>
      <c r="O65" s="4" t="s">
        <v>56</v>
      </c>
      <c r="P65" s="4"/>
    </row>
    <row r="66" spans="1:16" ht="14" customHeight="1">
      <c r="A66" s="3" t="s">
        <v>553</v>
      </c>
      <c r="B66" s="3" t="s">
        <v>539</v>
      </c>
      <c r="C66" s="3"/>
      <c r="D66" s="3" t="s">
        <v>554</v>
      </c>
      <c r="E66" s="3" t="s">
        <v>555</v>
      </c>
      <c r="F66" s="3" t="s">
        <v>107</v>
      </c>
      <c r="G66" s="10">
        <v>1110.75</v>
      </c>
      <c r="H66" s="10">
        <v>1450</v>
      </c>
      <c r="I66" s="11">
        <v>1610588</v>
      </c>
      <c r="J66" s="8">
        <f t="shared" si="0"/>
        <v>1610588</v>
      </c>
      <c r="K66" s="8">
        <f t="shared" si="1"/>
        <v>0</v>
      </c>
      <c r="L66" s="3" t="s">
        <v>556</v>
      </c>
      <c r="M66" s="3">
        <v>8</v>
      </c>
      <c r="N66" s="3" t="s">
        <v>358</v>
      </c>
      <c r="O66" s="3" t="s">
        <v>56</v>
      </c>
      <c r="P66" s="3"/>
    </row>
    <row r="67" spans="1:16" ht="14" customHeight="1">
      <c r="A67" s="4" t="s">
        <v>557</v>
      </c>
      <c r="B67" s="4" t="s">
        <v>539</v>
      </c>
      <c r="C67" s="4"/>
      <c r="D67" s="4" t="s">
        <v>558</v>
      </c>
      <c r="E67" s="4" t="s">
        <v>559</v>
      </c>
      <c r="F67" s="4" t="s">
        <v>107</v>
      </c>
      <c r="G67" s="12">
        <v>139.26</v>
      </c>
      <c r="H67" s="12">
        <v>1450</v>
      </c>
      <c r="I67" s="13">
        <v>201927</v>
      </c>
      <c r="J67" s="9">
        <f t="shared" si="0"/>
        <v>201927</v>
      </c>
      <c r="K67" s="9">
        <f t="shared" si="1"/>
        <v>0</v>
      </c>
      <c r="L67" s="4" t="s">
        <v>560</v>
      </c>
      <c r="M67" s="4">
        <v>8</v>
      </c>
      <c r="N67" s="4" t="s">
        <v>358</v>
      </c>
      <c r="O67" s="4" t="s">
        <v>56</v>
      </c>
      <c r="P67" s="4"/>
    </row>
    <row r="68" spans="1:16" ht="14" customHeight="1">
      <c r="A68" s="3" t="s">
        <v>561</v>
      </c>
      <c r="B68" s="3" t="s">
        <v>539</v>
      </c>
      <c r="C68" s="3"/>
      <c r="D68" s="3" t="s">
        <v>562</v>
      </c>
      <c r="E68" s="3" t="s">
        <v>563</v>
      </c>
      <c r="F68" s="3" t="s">
        <v>107</v>
      </c>
      <c r="G68" s="10">
        <v>156.87</v>
      </c>
      <c r="H68" s="10">
        <v>600</v>
      </c>
      <c r="I68" s="11">
        <v>94122</v>
      </c>
      <c r="J68" s="8">
        <f t="shared" si="0"/>
        <v>94122</v>
      </c>
      <c r="K68" s="8">
        <f t="shared" si="1"/>
        <v>0</v>
      </c>
      <c r="L68" s="3"/>
      <c r="M68" s="3">
        <v>8</v>
      </c>
      <c r="N68" s="3" t="s">
        <v>358</v>
      </c>
      <c r="O68" s="3" t="s">
        <v>56</v>
      </c>
      <c r="P68" s="3"/>
    </row>
    <row r="69" spans="1:16" ht="14" customHeight="1">
      <c r="A69" s="4" t="s">
        <v>564</v>
      </c>
      <c r="B69" s="4" t="s">
        <v>539</v>
      </c>
      <c r="C69" s="4"/>
      <c r="D69" s="4" t="s">
        <v>565</v>
      </c>
      <c r="E69" s="4" t="s">
        <v>566</v>
      </c>
      <c r="F69" s="4" t="s">
        <v>438</v>
      </c>
      <c r="G69" s="12">
        <v>25</v>
      </c>
      <c r="H69" s="12">
        <v>13600</v>
      </c>
      <c r="I69" s="13">
        <v>340000</v>
      </c>
      <c r="J69" s="9">
        <f t="shared" si="0"/>
        <v>340000</v>
      </c>
      <c r="K69" s="9">
        <f t="shared" si="1"/>
        <v>0</v>
      </c>
      <c r="L69" s="4"/>
      <c r="M69" s="4">
        <v>8</v>
      </c>
      <c r="N69" s="4" t="s">
        <v>358</v>
      </c>
      <c r="O69" s="4" t="s">
        <v>56</v>
      </c>
      <c r="P69" s="4"/>
    </row>
    <row r="70" spans="1:16" ht="14" customHeight="1">
      <c r="A70" s="3" t="s">
        <v>567</v>
      </c>
      <c r="B70" s="3" t="s">
        <v>539</v>
      </c>
      <c r="C70" s="3"/>
      <c r="D70" s="3" t="s">
        <v>568</v>
      </c>
      <c r="E70" s="3" t="s">
        <v>569</v>
      </c>
      <c r="F70" s="3" t="s">
        <v>438</v>
      </c>
      <c r="G70" s="10">
        <v>31</v>
      </c>
      <c r="H70" s="10">
        <v>12000</v>
      </c>
      <c r="I70" s="11">
        <v>372000</v>
      </c>
      <c r="J70" s="8">
        <f t="shared" ref="J70:J133" si="2">IF(OR(G70="",H70=""),"",ROUND(G70*H70,0))</f>
        <v>372000</v>
      </c>
      <c r="K70" s="8">
        <f t="shared" ref="K70:K133" si="3">IF(OR(I70="",J70=""),"",I70-J70)</f>
        <v>0</v>
      </c>
      <c r="L70" s="3"/>
      <c r="M70" s="3">
        <v>8</v>
      </c>
      <c r="N70" s="3" t="s">
        <v>358</v>
      </c>
      <c r="O70" s="3" t="s">
        <v>56</v>
      </c>
      <c r="P70" s="3"/>
    </row>
    <row r="71" spans="1:16" ht="14" customHeight="1">
      <c r="A71" s="4" t="s">
        <v>570</v>
      </c>
      <c r="B71" s="4" t="s">
        <v>539</v>
      </c>
      <c r="C71" s="4"/>
      <c r="D71" s="4" t="s">
        <v>571</v>
      </c>
      <c r="E71" s="4" t="s">
        <v>572</v>
      </c>
      <c r="F71" s="4" t="s">
        <v>438</v>
      </c>
      <c r="G71" s="12">
        <v>20</v>
      </c>
      <c r="H71" s="12">
        <v>10800</v>
      </c>
      <c r="I71" s="13">
        <v>216000</v>
      </c>
      <c r="J71" s="9">
        <f t="shared" si="2"/>
        <v>216000</v>
      </c>
      <c r="K71" s="9">
        <f t="shared" si="3"/>
        <v>0</v>
      </c>
      <c r="L71" s="4"/>
      <c r="M71" s="4">
        <v>8</v>
      </c>
      <c r="N71" s="4" t="s">
        <v>358</v>
      </c>
      <c r="O71" s="4" t="s">
        <v>56</v>
      </c>
      <c r="P71" s="4"/>
    </row>
    <row r="72" spans="1:16" ht="14" customHeight="1">
      <c r="A72" s="3" t="s">
        <v>573</v>
      </c>
      <c r="B72" s="3" t="s">
        <v>539</v>
      </c>
      <c r="C72" s="3"/>
      <c r="D72" s="3" t="s">
        <v>574</v>
      </c>
      <c r="E72" s="3" t="s">
        <v>575</v>
      </c>
      <c r="F72" s="3" t="s">
        <v>438</v>
      </c>
      <c r="G72" s="10">
        <v>4</v>
      </c>
      <c r="H72" s="10">
        <v>7200</v>
      </c>
      <c r="I72" s="11">
        <v>28800</v>
      </c>
      <c r="J72" s="8">
        <f t="shared" si="2"/>
        <v>28800</v>
      </c>
      <c r="K72" s="8">
        <f t="shared" si="3"/>
        <v>0</v>
      </c>
      <c r="L72" s="3"/>
      <c r="M72" s="3">
        <v>8</v>
      </c>
      <c r="N72" s="3" t="s">
        <v>358</v>
      </c>
      <c r="O72" s="3" t="s">
        <v>56</v>
      </c>
      <c r="P72" s="3"/>
    </row>
    <row r="73" spans="1:16" ht="14" customHeight="1">
      <c r="A73" s="4" t="s">
        <v>576</v>
      </c>
      <c r="B73" s="4" t="s">
        <v>539</v>
      </c>
      <c r="C73" s="4"/>
      <c r="D73" s="4" t="s">
        <v>577</v>
      </c>
      <c r="E73" s="4" t="s">
        <v>578</v>
      </c>
      <c r="F73" s="4" t="s">
        <v>107</v>
      </c>
      <c r="G73" s="12">
        <v>91.67</v>
      </c>
      <c r="H73" s="12">
        <v>1208</v>
      </c>
      <c r="I73" s="13">
        <v>110737</v>
      </c>
      <c r="J73" s="9">
        <f t="shared" si="2"/>
        <v>110737</v>
      </c>
      <c r="K73" s="9">
        <f t="shared" si="3"/>
        <v>0</v>
      </c>
      <c r="L73" s="4" t="s">
        <v>579</v>
      </c>
      <c r="M73" s="4">
        <v>8</v>
      </c>
      <c r="N73" s="4" t="s">
        <v>358</v>
      </c>
      <c r="O73" s="4" t="s">
        <v>56</v>
      </c>
      <c r="P73" s="4"/>
    </row>
    <row r="74" spans="1:16" ht="14" customHeight="1">
      <c r="A74" s="3" t="s">
        <v>580</v>
      </c>
      <c r="B74" s="3" t="s">
        <v>539</v>
      </c>
      <c r="C74" s="3"/>
      <c r="D74" s="3" t="s">
        <v>581</v>
      </c>
      <c r="E74" s="3" t="s">
        <v>582</v>
      </c>
      <c r="F74" s="3" t="s">
        <v>107</v>
      </c>
      <c r="G74" s="10">
        <v>160.88999999999999</v>
      </c>
      <c r="H74" s="10">
        <v>1208</v>
      </c>
      <c r="I74" s="11">
        <v>194355</v>
      </c>
      <c r="J74" s="8">
        <f t="shared" si="2"/>
        <v>194355</v>
      </c>
      <c r="K74" s="8">
        <f t="shared" si="3"/>
        <v>0</v>
      </c>
      <c r="L74" s="3" t="s">
        <v>579</v>
      </c>
      <c r="M74" s="3">
        <v>8</v>
      </c>
      <c r="N74" s="3" t="s">
        <v>358</v>
      </c>
      <c r="O74" s="3" t="s">
        <v>56</v>
      </c>
      <c r="P74" s="3"/>
    </row>
    <row r="75" spans="1:16" ht="14" customHeight="1">
      <c r="A75" s="4" t="s">
        <v>583</v>
      </c>
      <c r="B75" s="4" t="s">
        <v>539</v>
      </c>
      <c r="C75" s="4"/>
      <c r="D75" s="4" t="s">
        <v>584</v>
      </c>
      <c r="E75" s="4" t="s">
        <v>585</v>
      </c>
      <c r="F75" s="4" t="s">
        <v>107</v>
      </c>
      <c r="G75" s="12">
        <v>2925.82</v>
      </c>
      <c r="H75" s="12">
        <v>710</v>
      </c>
      <c r="I75" s="13">
        <v>2077332</v>
      </c>
      <c r="J75" s="9">
        <f t="shared" si="2"/>
        <v>2077332</v>
      </c>
      <c r="K75" s="9">
        <f t="shared" si="3"/>
        <v>0</v>
      </c>
      <c r="L75" s="4" t="s">
        <v>586</v>
      </c>
      <c r="M75" s="4">
        <v>8</v>
      </c>
      <c r="N75" s="4" t="s">
        <v>358</v>
      </c>
      <c r="O75" s="4" t="s">
        <v>56</v>
      </c>
      <c r="P75" s="4"/>
    </row>
    <row r="76" spans="1:16" ht="14" customHeight="1">
      <c r="A76" s="3" t="s">
        <v>587</v>
      </c>
      <c r="B76" s="3" t="s">
        <v>539</v>
      </c>
      <c r="C76" s="3"/>
      <c r="D76" s="3" t="s">
        <v>588</v>
      </c>
      <c r="E76" s="3" t="s">
        <v>589</v>
      </c>
      <c r="F76" s="3" t="s">
        <v>107</v>
      </c>
      <c r="G76" s="10">
        <v>123.19</v>
      </c>
      <c r="H76" s="10">
        <v>1771</v>
      </c>
      <c r="I76" s="11">
        <v>218169</v>
      </c>
      <c r="J76" s="8">
        <f t="shared" si="2"/>
        <v>218169</v>
      </c>
      <c r="K76" s="8">
        <f t="shared" si="3"/>
        <v>0</v>
      </c>
      <c r="L76" s="3" t="s">
        <v>590</v>
      </c>
      <c r="M76" s="3">
        <v>8</v>
      </c>
      <c r="N76" s="3" t="s">
        <v>358</v>
      </c>
      <c r="O76" s="3" t="s">
        <v>56</v>
      </c>
      <c r="P76" s="3"/>
    </row>
    <row r="77" spans="1:16" ht="14" customHeight="1">
      <c r="A77" s="4" t="s">
        <v>591</v>
      </c>
      <c r="B77" s="4" t="s">
        <v>539</v>
      </c>
      <c r="C77" s="4"/>
      <c r="D77" s="4" t="s">
        <v>592</v>
      </c>
      <c r="E77" s="4" t="s">
        <v>593</v>
      </c>
      <c r="F77" s="4" t="s">
        <v>107</v>
      </c>
      <c r="G77" s="12">
        <v>48.62</v>
      </c>
      <c r="H77" s="12">
        <v>1861</v>
      </c>
      <c r="I77" s="13">
        <v>90482</v>
      </c>
      <c r="J77" s="9">
        <f t="shared" si="2"/>
        <v>90482</v>
      </c>
      <c r="K77" s="9">
        <f t="shared" si="3"/>
        <v>0</v>
      </c>
      <c r="L77" s="4" t="s">
        <v>590</v>
      </c>
      <c r="M77" s="4">
        <v>8</v>
      </c>
      <c r="N77" s="4" t="s">
        <v>358</v>
      </c>
      <c r="O77" s="4" t="s">
        <v>56</v>
      </c>
      <c r="P77" s="4"/>
    </row>
    <row r="78" spans="1:16" ht="14" customHeight="1">
      <c r="A78" s="3" t="s">
        <v>594</v>
      </c>
      <c r="B78" s="3" t="s">
        <v>539</v>
      </c>
      <c r="C78" s="3"/>
      <c r="D78" s="3" t="s">
        <v>595</v>
      </c>
      <c r="E78" s="3" t="s">
        <v>596</v>
      </c>
      <c r="F78" s="3" t="s">
        <v>107</v>
      </c>
      <c r="G78" s="10">
        <v>332.69</v>
      </c>
      <c r="H78" s="10">
        <v>1489</v>
      </c>
      <c r="I78" s="11">
        <v>495375</v>
      </c>
      <c r="J78" s="8">
        <f t="shared" si="2"/>
        <v>495375</v>
      </c>
      <c r="K78" s="8">
        <f t="shared" si="3"/>
        <v>0</v>
      </c>
      <c r="L78" s="3" t="s">
        <v>597</v>
      </c>
      <c r="M78" s="3">
        <v>9</v>
      </c>
      <c r="N78" s="3" t="s">
        <v>358</v>
      </c>
      <c r="O78" s="3" t="s">
        <v>56</v>
      </c>
      <c r="P78" s="3"/>
    </row>
    <row r="79" spans="1:16" ht="14" customHeight="1">
      <c r="A79" s="4" t="s">
        <v>598</v>
      </c>
      <c r="B79" s="4" t="s">
        <v>539</v>
      </c>
      <c r="C79" s="4"/>
      <c r="D79" s="4" t="s">
        <v>599</v>
      </c>
      <c r="E79" s="4" t="s">
        <v>600</v>
      </c>
      <c r="F79" s="4" t="s">
        <v>107</v>
      </c>
      <c r="G79" s="12">
        <v>125.66</v>
      </c>
      <c r="H79" s="12">
        <v>2519</v>
      </c>
      <c r="I79" s="13">
        <v>316538</v>
      </c>
      <c r="J79" s="9">
        <f t="shared" si="2"/>
        <v>316538</v>
      </c>
      <c r="K79" s="9">
        <f t="shared" si="3"/>
        <v>0</v>
      </c>
      <c r="L79" s="4" t="s">
        <v>601</v>
      </c>
      <c r="M79" s="4">
        <v>9</v>
      </c>
      <c r="N79" s="4" t="s">
        <v>358</v>
      </c>
      <c r="O79" s="4" t="s">
        <v>56</v>
      </c>
      <c r="P79" s="4"/>
    </row>
    <row r="80" spans="1:16" ht="14" customHeight="1">
      <c r="A80" s="3" t="s">
        <v>602</v>
      </c>
      <c r="B80" s="3" t="s">
        <v>539</v>
      </c>
      <c r="C80" s="3"/>
      <c r="D80" s="3" t="s">
        <v>603</v>
      </c>
      <c r="E80" s="3" t="s">
        <v>604</v>
      </c>
      <c r="F80" s="3" t="s">
        <v>162</v>
      </c>
      <c r="G80" s="10">
        <v>382.34</v>
      </c>
      <c r="H80" s="10">
        <v>70</v>
      </c>
      <c r="I80" s="11">
        <v>26764</v>
      </c>
      <c r="J80" s="8">
        <f t="shared" si="2"/>
        <v>26764</v>
      </c>
      <c r="K80" s="8">
        <f t="shared" si="3"/>
        <v>0</v>
      </c>
      <c r="L80" s="3" t="s">
        <v>605</v>
      </c>
      <c r="M80" s="3">
        <v>9</v>
      </c>
      <c r="N80" s="3" t="s">
        <v>358</v>
      </c>
      <c r="O80" s="3" t="s">
        <v>56</v>
      </c>
      <c r="P80" s="3"/>
    </row>
    <row r="81" spans="1:16" ht="14" customHeight="1">
      <c r="A81" s="4" t="s">
        <v>606</v>
      </c>
      <c r="B81" s="4" t="s">
        <v>539</v>
      </c>
      <c r="C81" s="4"/>
      <c r="D81" s="4" t="s">
        <v>607</v>
      </c>
      <c r="E81" s="4" t="s">
        <v>608</v>
      </c>
      <c r="F81" s="4" t="s">
        <v>107</v>
      </c>
      <c r="G81" s="12">
        <v>28.74</v>
      </c>
      <c r="H81" s="12">
        <v>1208</v>
      </c>
      <c r="I81" s="13">
        <v>34718</v>
      </c>
      <c r="J81" s="9">
        <f t="shared" si="2"/>
        <v>34718</v>
      </c>
      <c r="K81" s="9">
        <f t="shared" si="3"/>
        <v>0</v>
      </c>
      <c r="L81" s="4" t="s">
        <v>579</v>
      </c>
      <c r="M81" s="4">
        <v>9</v>
      </c>
      <c r="N81" s="4" t="s">
        <v>358</v>
      </c>
      <c r="O81" s="4" t="s">
        <v>56</v>
      </c>
      <c r="P81" s="4"/>
    </row>
    <row r="82" spans="1:16" ht="14" customHeight="1">
      <c r="A82" s="3" t="s">
        <v>609</v>
      </c>
      <c r="B82" s="3" t="s">
        <v>539</v>
      </c>
      <c r="C82" s="3"/>
      <c r="D82" s="3" t="s">
        <v>610</v>
      </c>
      <c r="E82" s="3" t="s">
        <v>611</v>
      </c>
      <c r="F82" s="3" t="s">
        <v>107</v>
      </c>
      <c r="G82" s="10">
        <v>197.55</v>
      </c>
      <c r="H82" s="10">
        <v>1936</v>
      </c>
      <c r="I82" s="11">
        <v>382457</v>
      </c>
      <c r="J82" s="8">
        <f t="shared" si="2"/>
        <v>382457</v>
      </c>
      <c r="K82" s="8">
        <f t="shared" si="3"/>
        <v>0</v>
      </c>
      <c r="L82" s="3" t="s">
        <v>612</v>
      </c>
      <c r="M82" s="3">
        <v>9</v>
      </c>
      <c r="N82" s="3" t="s">
        <v>358</v>
      </c>
      <c r="O82" s="3" t="s">
        <v>56</v>
      </c>
      <c r="P82" s="3"/>
    </row>
    <row r="83" spans="1:16" ht="14" customHeight="1">
      <c r="A83" s="4" t="s">
        <v>613</v>
      </c>
      <c r="B83" s="4" t="s">
        <v>539</v>
      </c>
      <c r="C83" s="4"/>
      <c r="D83" s="4" t="s">
        <v>614</v>
      </c>
      <c r="E83" s="4" t="s">
        <v>615</v>
      </c>
      <c r="F83" s="4" t="s">
        <v>107</v>
      </c>
      <c r="G83" s="12">
        <v>25.34</v>
      </c>
      <c r="H83" s="12">
        <v>1734</v>
      </c>
      <c r="I83" s="13">
        <v>43940</v>
      </c>
      <c r="J83" s="9">
        <f t="shared" si="2"/>
        <v>43940</v>
      </c>
      <c r="K83" s="9">
        <f t="shared" si="3"/>
        <v>0</v>
      </c>
      <c r="L83" s="4"/>
      <c r="M83" s="4">
        <v>9</v>
      </c>
      <c r="N83" s="4" t="s">
        <v>358</v>
      </c>
      <c r="O83" s="4" t="s">
        <v>56</v>
      </c>
      <c r="P83" s="4"/>
    </row>
    <row r="84" spans="1:16" ht="14" customHeight="1">
      <c r="A84" s="3" t="s">
        <v>616</v>
      </c>
      <c r="B84" s="3" t="s">
        <v>539</v>
      </c>
      <c r="C84" s="3"/>
      <c r="D84" s="3" t="s">
        <v>617</v>
      </c>
      <c r="E84" s="3" t="s">
        <v>618</v>
      </c>
      <c r="F84" s="3" t="s">
        <v>107</v>
      </c>
      <c r="G84" s="10">
        <v>1565.1</v>
      </c>
      <c r="H84" s="10">
        <v>1816</v>
      </c>
      <c r="I84" s="11">
        <v>2842222</v>
      </c>
      <c r="J84" s="8">
        <f t="shared" si="2"/>
        <v>2842222</v>
      </c>
      <c r="K84" s="8">
        <f t="shared" si="3"/>
        <v>0</v>
      </c>
      <c r="L84" s="3" t="s">
        <v>579</v>
      </c>
      <c r="M84" s="3">
        <v>9</v>
      </c>
      <c r="N84" s="3" t="s">
        <v>358</v>
      </c>
      <c r="O84" s="3" t="s">
        <v>56</v>
      </c>
      <c r="P84" s="3"/>
    </row>
    <row r="85" spans="1:16" ht="14" customHeight="1">
      <c r="A85" s="4" t="s">
        <v>619</v>
      </c>
      <c r="B85" s="4" t="s">
        <v>539</v>
      </c>
      <c r="C85" s="4"/>
      <c r="D85" s="4" t="s">
        <v>620</v>
      </c>
      <c r="E85" s="4" t="s">
        <v>621</v>
      </c>
      <c r="F85" s="4" t="s">
        <v>107</v>
      </c>
      <c r="G85" s="12">
        <v>70.86</v>
      </c>
      <c r="H85" s="12">
        <v>1489</v>
      </c>
      <c r="I85" s="13">
        <v>105511</v>
      </c>
      <c r="J85" s="9">
        <f t="shared" si="2"/>
        <v>105511</v>
      </c>
      <c r="K85" s="9">
        <f t="shared" si="3"/>
        <v>0</v>
      </c>
      <c r="L85" s="4" t="s">
        <v>597</v>
      </c>
      <c r="M85" s="4">
        <v>9</v>
      </c>
      <c r="N85" s="4" t="s">
        <v>358</v>
      </c>
      <c r="O85" s="4" t="s">
        <v>56</v>
      </c>
      <c r="P85" s="4"/>
    </row>
    <row r="86" spans="1:16" ht="14" customHeight="1">
      <c r="A86" s="3" t="s">
        <v>622</v>
      </c>
      <c r="B86" s="3" t="s">
        <v>539</v>
      </c>
      <c r="C86" s="3"/>
      <c r="D86" s="3" t="s">
        <v>623</v>
      </c>
      <c r="E86" s="3" t="s">
        <v>624</v>
      </c>
      <c r="F86" s="3" t="s">
        <v>107</v>
      </c>
      <c r="G86" s="10">
        <v>3156.85</v>
      </c>
      <c r="H86" s="10">
        <v>842</v>
      </c>
      <c r="I86" s="11">
        <v>2658068</v>
      </c>
      <c r="J86" s="8">
        <f t="shared" si="2"/>
        <v>2658068</v>
      </c>
      <c r="K86" s="8">
        <f t="shared" si="3"/>
        <v>0</v>
      </c>
      <c r="L86" s="3" t="s">
        <v>625</v>
      </c>
      <c r="M86" s="3">
        <v>9</v>
      </c>
      <c r="N86" s="3" t="s">
        <v>358</v>
      </c>
      <c r="O86" s="3" t="s">
        <v>56</v>
      </c>
      <c r="P86" s="3"/>
    </row>
    <row r="87" spans="1:16" ht="14" customHeight="1">
      <c r="A87" s="4" t="s">
        <v>626</v>
      </c>
      <c r="B87" s="4" t="s">
        <v>539</v>
      </c>
      <c r="C87" s="4"/>
      <c r="D87" s="4" t="s">
        <v>627</v>
      </c>
      <c r="E87" s="4" t="s">
        <v>628</v>
      </c>
      <c r="F87" s="4" t="s">
        <v>107</v>
      </c>
      <c r="G87" s="12">
        <v>2680.78</v>
      </c>
      <c r="H87" s="12">
        <v>240</v>
      </c>
      <c r="I87" s="13">
        <v>643387</v>
      </c>
      <c r="J87" s="9">
        <f t="shared" si="2"/>
        <v>643387</v>
      </c>
      <c r="K87" s="9">
        <f t="shared" si="3"/>
        <v>0</v>
      </c>
      <c r="L87" s="4" t="s">
        <v>625</v>
      </c>
      <c r="M87" s="4">
        <v>9</v>
      </c>
      <c r="N87" s="4" t="s">
        <v>358</v>
      </c>
      <c r="O87" s="4" t="s">
        <v>56</v>
      </c>
      <c r="P87" s="4"/>
    </row>
    <row r="88" spans="1:16" ht="14" customHeight="1">
      <c r="A88" s="3" t="s">
        <v>629</v>
      </c>
      <c r="B88" s="3" t="s">
        <v>539</v>
      </c>
      <c r="C88" s="3"/>
      <c r="D88" s="3" t="s">
        <v>630</v>
      </c>
      <c r="E88" s="3" t="s">
        <v>631</v>
      </c>
      <c r="F88" s="3" t="s">
        <v>107</v>
      </c>
      <c r="G88" s="10">
        <v>176.54</v>
      </c>
      <c r="H88" s="10">
        <v>1715</v>
      </c>
      <c r="I88" s="11">
        <v>302766</v>
      </c>
      <c r="J88" s="8">
        <f t="shared" si="2"/>
        <v>302766</v>
      </c>
      <c r="K88" s="8">
        <f t="shared" si="3"/>
        <v>0</v>
      </c>
      <c r="L88" s="3" t="s">
        <v>579</v>
      </c>
      <c r="M88" s="3">
        <v>9</v>
      </c>
      <c r="N88" s="3" t="s">
        <v>358</v>
      </c>
      <c r="O88" s="3" t="s">
        <v>56</v>
      </c>
      <c r="P88" s="3"/>
    </row>
    <row r="89" spans="1:16" ht="14" customHeight="1">
      <c r="A89" s="4" t="s">
        <v>632</v>
      </c>
      <c r="B89" s="4" t="s">
        <v>539</v>
      </c>
      <c r="C89" s="4"/>
      <c r="D89" s="4" t="s">
        <v>633</v>
      </c>
      <c r="E89" s="4" t="s">
        <v>634</v>
      </c>
      <c r="F89" s="4" t="s">
        <v>107</v>
      </c>
      <c r="G89" s="12">
        <v>191.99</v>
      </c>
      <c r="H89" s="12">
        <v>1145</v>
      </c>
      <c r="I89" s="13">
        <v>219829</v>
      </c>
      <c r="J89" s="9">
        <f t="shared" si="2"/>
        <v>219829</v>
      </c>
      <c r="K89" s="9">
        <f t="shared" si="3"/>
        <v>0</v>
      </c>
      <c r="L89" s="4" t="s">
        <v>579</v>
      </c>
      <c r="M89" s="4">
        <v>9</v>
      </c>
      <c r="N89" s="4" t="s">
        <v>358</v>
      </c>
      <c r="O89" s="4" t="s">
        <v>56</v>
      </c>
      <c r="P89" s="4"/>
    </row>
    <row r="90" spans="1:16" ht="14" customHeight="1">
      <c r="A90" s="3" t="s">
        <v>635</v>
      </c>
      <c r="B90" s="3" t="s">
        <v>539</v>
      </c>
      <c r="C90" s="3"/>
      <c r="D90" s="3" t="s">
        <v>636</v>
      </c>
      <c r="E90" s="3" t="s">
        <v>637</v>
      </c>
      <c r="F90" s="3" t="s">
        <v>107</v>
      </c>
      <c r="G90" s="10">
        <v>513.66</v>
      </c>
      <c r="H90" s="10">
        <v>842</v>
      </c>
      <c r="I90" s="11">
        <v>432502</v>
      </c>
      <c r="J90" s="8">
        <f t="shared" si="2"/>
        <v>432502</v>
      </c>
      <c r="K90" s="8">
        <f t="shared" si="3"/>
        <v>0</v>
      </c>
      <c r="L90" s="3" t="s">
        <v>625</v>
      </c>
      <c r="M90" s="3">
        <v>9</v>
      </c>
      <c r="N90" s="3" t="s">
        <v>358</v>
      </c>
      <c r="O90" s="3" t="s">
        <v>56</v>
      </c>
      <c r="P90" s="3"/>
    </row>
    <row r="91" spans="1:16" ht="14" customHeight="1">
      <c r="A91" s="4" t="s">
        <v>638</v>
      </c>
      <c r="B91" s="4" t="s">
        <v>539</v>
      </c>
      <c r="C91" s="4"/>
      <c r="D91" s="4" t="s">
        <v>639</v>
      </c>
      <c r="E91" s="4" t="s">
        <v>640</v>
      </c>
      <c r="F91" s="4" t="s">
        <v>107</v>
      </c>
      <c r="G91" s="12">
        <v>958.42</v>
      </c>
      <c r="H91" s="12">
        <v>450</v>
      </c>
      <c r="I91" s="13">
        <v>431289</v>
      </c>
      <c r="J91" s="9">
        <f t="shared" si="2"/>
        <v>431289</v>
      </c>
      <c r="K91" s="9">
        <f t="shared" si="3"/>
        <v>0</v>
      </c>
      <c r="L91" s="4"/>
      <c r="M91" s="4">
        <v>9</v>
      </c>
      <c r="N91" s="4" t="s">
        <v>358</v>
      </c>
      <c r="O91" s="4" t="s">
        <v>56</v>
      </c>
      <c r="P91" s="4"/>
    </row>
    <row r="92" spans="1:16" ht="14" customHeight="1">
      <c r="A92" s="3" t="s">
        <v>641</v>
      </c>
      <c r="B92" s="3" t="s">
        <v>539</v>
      </c>
      <c r="C92" s="3"/>
      <c r="D92" s="3" t="s">
        <v>642</v>
      </c>
      <c r="E92" s="3" t="s">
        <v>643</v>
      </c>
      <c r="F92" s="3" t="s">
        <v>107</v>
      </c>
      <c r="G92" s="10">
        <v>119.17</v>
      </c>
      <c r="H92" s="10">
        <v>1410</v>
      </c>
      <c r="I92" s="11">
        <v>168030</v>
      </c>
      <c r="J92" s="8">
        <f t="shared" si="2"/>
        <v>168030</v>
      </c>
      <c r="K92" s="8">
        <f t="shared" si="3"/>
        <v>0</v>
      </c>
      <c r="L92" s="3" t="s">
        <v>644</v>
      </c>
      <c r="M92" s="3">
        <v>9</v>
      </c>
      <c r="N92" s="3" t="s">
        <v>358</v>
      </c>
      <c r="O92" s="3" t="s">
        <v>56</v>
      </c>
      <c r="P92" s="3"/>
    </row>
    <row r="93" spans="1:16" ht="14" customHeight="1">
      <c r="A93" s="4" t="s">
        <v>645</v>
      </c>
      <c r="B93" s="4" t="s">
        <v>539</v>
      </c>
      <c r="C93" s="4"/>
      <c r="D93" s="4" t="s">
        <v>646</v>
      </c>
      <c r="E93" s="4" t="s">
        <v>647</v>
      </c>
      <c r="F93" s="4" t="s">
        <v>162</v>
      </c>
      <c r="G93" s="12">
        <v>109.9</v>
      </c>
      <c r="H93" s="12">
        <v>980</v>
      </c>
      <c r="I93" s="13">
        <v>107702</v>
      </c>
      <c r="J93" s="9">
        <f t="shared" si="2"/>
        <v>107702</v>
      </c>
      <c r="K93" s="9">
        <f t="shared" si="3"/>
        <v>0</v>
      </c>
      <c r="L93" s="4"/>
      <c r="M93" s="4">
        <v>10</v>
      </c>
      <c r="N93" s="4" t="s">
        <v>358</v>
      </c>
      <c r="O93" s="4" t="s">
        <v>56</v>
      </c>
      <c r="P93" s="4"/>
    </row>
    <row r="94" spans="1:16" ht="14" customHeight="1">
      <c r="A94" s="3" t="s">
        <v>648</v>
      </c>
      <c r="B94" s="3" t="s">
        <v>539</v>
      </c>
      <c r="C94" s="3"/>
      <c r="D94" s="3" t="s">
        <v>649</v>
      </c>
      <c r="E94" s="3" t="s">
        <v>650</v>
      </c>
      <c r="F94" s="3" t="s">
        <v>107</v>
      </c>
      <c r="G94" s="10">
        <v>26.57</v>
      </c>
      <c r="H94" s="10">
        <v>1480</v>
      </c>
      <c r="I94" s="11">
        <v>39324</v>
      </c>
      <c r="J94" s="8">
        <f t="shared" si="2"/>
        <v>39324</v>
      </c>
      <c r="K94" s="8">
        <f t="shared" si="3"/>
        <v>0</v>
      </c>
      <c r="L94" s="3"/>
      <c r="M94" s="3">
        <v>10</v>
      </c>
      <c r="N94" s="3" t="s">
        <v>358</v>
      </c>
      <c r="O94" s="3" t="s">
        <v>56</v>
      </c>
      <c r="P94" s="3"/>
    </row>
    <row r="95" spans="1:16" ht="14" customHeight="1">
      <c r="A95" s="4" t="s">
        <v>651</v>
      </c>
      <c r="B95" s="4" t="s">
        <v>539</v>
      </c>
      <c r="C95" s="4"/>
      <c r="D95" s="4" t="s">
        <v>652</v>
      </c>
      <c r="E95" s="4" t="s">
        <v>653</v>
      </c>
      <c r="F95" s="4" t="s">
        <v>357</v>
      </c>
      <c r="G95" s="12">
        <v>1</v>
      </c>
      <c r="H95" s="12">
        <v>34563</v>
      </c>
      <c r="I95" s="13">
        <v>34563</v>
      </c>
      <c r="J95" s="9">
        <f t="shared" si="2"/>
        <v>34563</v>
      </c>
      <c r="K95" s="9">
        <f t="shared" si="3"/>
        <v>0</v>
      </c>
      <c r="L95" s="4"/>
      <c r="M95" s="4">
        <v>10</v>
      </c>
      <c r="N95" s="4" t="s">
        <v>358</v>
      </c>
      <c r="O95" s="4" t="s">
        <v>56</v>
      </c>
      <c r="P95" s="4"/>
    </row>
    <row r="96" spans="1:16" ht="14" customHeight="1">
      <c r="A96" s="3" t="s">
        <v>654</v>
      </c>
      <c r="B96" s="3" t="s">
        <v>539</v>
      </c>
      <c r="C96" s="3"/>
      <c r="D96" s="3" t="s">
        <v>655</v>
      </c>
      <c r="E96" s="3" t="s">
        <v>656</v>
      </c>
      <c r="F96" s="3" t="s">
        <v>107</v>
      </c>
      <c r="G96" s="10">
        <v>248.23</v>
      </c>
      <c r="H96" s="10">
        <v>308</v>
      </c>
      <c r="I96" s="11">
        <v>76455</v>
      </c>
      <c r="J96" s="8">
        <f t="shared" si="2"/>
        <v>76455</v>
      </c>
      <c r="K96" s="8">
        <f t="shared" si="3"/>
        <v>0</v>
      </c>
      <c r="L96" s="3" t="s">
        <v>657</v>
      </c>
      <c r="M96" s="3">
        <v>10</v>
      </c>
      <c r="N96" s="3" t="s">
        <v>358</v>
      </c>
      <c r="O96" s="3" t="s">
        <v>56</v>
      </c>
      <c r="P96" s="3"/>
    </row>
    <row r="97" spans="1:16" ht="14" customHeight="1">
      <c r="A97" s="4" t="s">
        <v>658</v>
      </c>
      <c r="B97" s="4" t="s">
        <v>539</v>
      </c>
      <c r="C97" s="4"/>
      <c r="D97" s="4" t="s">
        <v>659</v>
      </c>
      <c r="E97" s="4" t="s">
        <v>660</v>
      </c>
      <c r="F97" s="4" t="s">
        <v>162</v>
      </c>
      <c r="G97" s="12">
        <v>67.47</v>
      </c>
      <c r="H97" s="12">
        <v>680</v>
      </c>
      <c r="I97" s="13">
        <v>45880</v>
      </c>
      <c r="J97" s="9">
        <f t="shared" si="2"/>
        <v>45880</v>
      </c>
      <c r="K97" s="9">
        <f t="shared" si="3"/>
        <v>0</v>
      </c>
      <c r="L97" s="4" t="s">
        <v>661</v>
      </c>
      <c r="M97" s="4">
        <v>10</v>
      </c>
      <c r="N97" s="4" t="s">
        <v>358</v>
      </c>
      <c r="O97" s="4" t="s">
        <v>56</v>
      </c>
      <c r="P97" s="4"/>
    </row>
    <row r="98" spans="1:16" ht="14" customHeight="1">
      <c r="A98" s="3" t="s">
        <v>662</v>
      </c>
      <c r="B98" s="3" t="s">
        <v>539</v>
      </c>
      <c r="C98" s="3"/>
      <c r="D98" s="3" t="s">
        <v>663</v>
      </c>
      <c r="E98" s="3" t="s">
        <v>664</v>
      </c>
      <c r="F98" s="3" t="s">
        <v>107</v>
      </c>
      <c r="G98" s="10">
        <v>41.41</v>
      </c>
      <c r="H98" s="10">
        <v>308</v>
      </c>
      <c r="I98" s="11">
        <v>12754</v>
      </c>
      <c r="J98" s="8">
        <f t="shared" si="2"/>
        <v>12754</v>
      </c>
      <c r="K98" s="8">
        <f t="shared" si="3"/>
        <v>0</v>
      </c>
      <c r="L98" s="3" t="s">
        <v>665</v>
      </c>
      <c r="M98" s="3">
        <v>10</v>
      </c>
      <c r="N98" s="3" t="s">
        <v>358</v>
      </c>
      <c r="O98" s="3" t="s">
        <v>56</v>
      </c>
      <c r="P98" s="3"/>
    </row>
    <row r="99" spans="1:16" ht="14" customHeight="1">
      <c r="A99" s="4" t="s">
        <v>666</v>
      </c>
      <c r="B99" s="4" t="s">
        <v>539</v>
      </c>
      <c r="C99" s="4"/>
      <c r="D99" s="4" t="s">
        <v>667</v>
      </c>
      <c r="E99" s="4" t="s">
        <v>668</v>
      </c>
      <c r="F99" s="4" t="s">
        <v>162</v>
      </c>
      <c r="G99" s="12">
        <v>49.85</v>
      </c>
      <c r="H99" s="12">
        <v>380</v>
      </c>
      <c r="I99" s="13">
        <v>18943</v>
      </c>
      <c r="J99" s="9">
        <f t="shared" si="2"/>
        <v>18943</v>
      </c>
      <c r="K99" s="9">
        <f t="shared" si="3"/>
        <v>0</v>
      </c>
      <c r="L99" s="4" t="s">
        <v>669</v>
      </c>
      <c r="M99" s="4">
        <v>10</v>
      </c>
      <c r="N99" s="4" t="s">
        <v>358</v>
      </c>
      <c r="O99" s="4" t="s">
        <v>56</v>
      </c>
      <c r="P99" s="4"/>
    </row>
    <row r="100" spans="1:16" ht="14" customHeight="1">
      <c r="A100" s="3" t="s">
        <v>670</v>
      </c>
      <c r="B100" s="3" t="s">
        <v>539</v>
      </c>
      <c r="C100" s="3"/>
      <c r="D100" s="3" t="s">
        <v>671</v>
      </c>
      <c r="E100" s="3" t="s">
        <v>672</v>
      </c>
      <c r="F100" s="3" t="s">
        <v>107</v>
      </c>
      <c r="G100" s="10">
        <v>1686.01</v>
      </c>
      <c r="H100" s="10">
        <v>1800</v>
      </c>
      <c r="I100" s="11">
        <v>3034818</v>
      </c>
      <c r="J100" s="8">
        <f t="shared" si="2"/>
        <v>3034818</v>
      </c>
      <c r="K100" s="8">
        <f t="shared" si="3"/>
        <v>0</v>
      </c>
      <c r="L100" s="3" t="s">
        <v>673</v>
      </c>
      <c r="M100" s="3">
        <v>10</v>
      </c>
      <c r="N100" s="3" t="s">
        <v>358</v>
      </c>
      <c r="O100" s="3" t="s">
        <v>56</v>
      </c>
      <c r="P100" s="3"/>
    </row>
    <row r="101" spans="1:16" ht="14" customHeight="1">
      <c r="A101" s="4" t="s">
        <v>674</v>
      </c>
      <c r="B101" s="4" t="s">
        <v>539</v>
      </c>
      <c r="C101" s="4"/>
      <c r="D101" s="4" t="s">
        <v>675</v>
      </c>
      <c r="E101" s="4" t="s">
        <v>676</v>
      </c>
      <c r="F101" s="4" t="s">
        <v>107</v>
      </c>
      <c r="G101" s="12">
        <v>318.79000000000002</v>
      </c>
      <c r="H101" s="12">
        <v>1800</v>
      </c>
      <c r="I101" s="13">
        <v>573822</v>
      </c>
      <c r="J101" s="9">
        <f t="shared" si="2"/>
        <v>573822</v>
      </c>
      <c r="K101" s="9">
        <f t="shared" si="3"/>
        <v>0</v>
      </c>
      <c r="L101" s="4" t="s">
        <v>673</v>
      </c>
      <c r="M101" s="4">
        <v>10</v>
      </c>
      <c r="N101" s="4" t="s">
        <v>358</v>
      </c>
      <c r="O101" s="4" t="s">
        <v>56</v>
      </c>
      <c r="P101" s="4"/>
    </row>
    <row r="102" spans="1:16" ht="14" customHeight="1">
      <c r="A102" s="3" t="s">
        <v>677</v>
      </c>
      <c r="B102" s="3" t="s">
        <v>539</v>
      </c>
      <c r="C102" s="3"/>
      <c r="D102" s="3" t="s">
        <v>678</v>
      </c>
      <c r="E102" s="3" t="s">
        <v>679</v>
      </c>
      <c r="F102" s="3" t="s">
        <v>107</v>
      </c>
      <c r="G102" s="10">
        <v>217.12</v>
      </c>
      <c r="H102" s="10">
        <v>308</v>
      </c>
      <c r="I102" s="11">
        <v>66873</v>
      </c>
      <c r="J102" s="8">
        <f t="shared" si="2"/>
        <v>66873</v>
      </c>
      <c r="K102" s="8">
        <f t="shared" si="3"/>
        <v>0</v>
      </c>
      <c r="L102" s="3" t="s">
        <v>657</v>
      </c>
      <c r="M102" s="3">
        <v>10</v>
      </c>
      <c r="N102" s="3" t="s">
        <v>358</v>
      </c>
      <c r="O102" s="3" t="s">
        <v>56</v>
      </c>
      <c r="P102" s="3"/>
    </row>
    <row r="103" spans="1:16" ht="14" customHeight="1">
      <c r="A103" s="4" t="s">
        <v>680</v>
      </c>
      <c r="B103" s="4" t="s">
        <v>539</v>
      </c>
      <c r="C103" s="4"/>
      <c r="D103" s="4" t="s">
        <v>681</v>
      </c>
      <c r="E103" s="4" t="s">
        <v>682</v>
      </c>
      <c r="F103" s="4" t="s">
        <v>107</v>
      </c>
      <c r="G103" s="12">
        <v>121.64</v>
      </c>
      <c r="H103" s="12">
        <v>682</v>
      </c>
      <c r="I103" s="13">
        <v>82958</v>
      </c>
      <c r="J103" s="9">
        <f t="shared" si="2"/>
        <v>82958</v>
      </c>
      <c r="K103" s="9">
        <f t="shared" si="3"/>
        <v>0</v>
      </c>
      <c r="L103" s="4" t="s">
        <v>683</v>
      </c>
      <c r="M103" s="4">
        <v>10</v>
      </c>
      <c r="N103" s="4" t="s">
        <v>358</v>
      </c>
      <c r="O103" s="4" t="s">
        <v>56</v>
      </c>
      <c r="P103" s="4"/>
    </row>
    <row r="104" spans="1:16" ht="14" customHeight="1">
      <c r="A104" s="3" t="s">
        <v>684</v>
      </c>
      <c r="B104" s="3" t="s">
        <v>539</v>
      </c>
      <c r="C104" s="3"/>
      <c r="D104" s="3" t="s">
        <v>685</v>
      </c>
      <c r="E104" s="3" t="s">
        <v>686</v>
      </c>
      <c r="F104" s="3" t="s">
        <v>357</v>
      </c>
      <c r="G104" s="10">
        <v>1</v>
      </c>
      <c r="H104" s="10">
        <v>26000</v>
      </c>
      <c r="I104" s="11">
        <v>26000</v>
      </c>
      <c r="J104" s="8">
        <f t="shared" si="2"/>
        <v>26000</v>
      </c>
      <c r="K104" s="8">
        <f t="shared" si="3"/>
        <v>0</v>
      </c>
      <c r="L104" s="3"/>
      <c r="M104" s="3">
        <v>10</v>
      </c>
      <c r="N104" s="3" t="s">
        <v>358</v>
      </c>
      <c r="O104" s="3" t="s">
        <v>56</v>
      </c>
      <c r="P104" s="3"/>
    </row>
    <row r="105" spans="1:16" ht="14" customHeight="1">
      <c r="A105" s="4" t="s">
        <v>687</v>
      </c>
      <c r="B105" s="4" t="s">
        <v>688</v>
      </c>
      <c r="C105" s="4"/>
      <c r="D105" s="4" t="s">
        <v>689</v>
      </c>
      <c r="E105" s="4" t="s">
        <v>690</v>
      </c>
      <c r="F105" s="4" t="s">
        <v>107</v>
      </c>
      <c r="G105" s="12">
        <v>1988.62</v>
      </c>
      <c r="H105" s="12">
        <v>1631</v>
      </c>
      <c r="I105" s="13">
        <v>3243439</v>
      </c>
      <c r="J105" s="9">
        <f t="shared" si="2"/>
        <v>3243439</v>
      </c>
      <c r="K105" s="9">
        <f t="shared" si="3"/>
        <v>0</v>
      </c>
      <c r="L105" s="4" t="s">
        <v>691</v>
      </c>
      <c r="M105" s="4">
        <v>11</v>
      </c>
      <c r="N105" s="4" t="s">
        <v>358</v>
      </c>
      <c r="O105" s="4" t="s">
        <v>56</v>
      </c>
      <c r="P105" s="4"/>
    </row>
    <row r="106" spans="1:16" ht="14" customHeight="1">
      <c r="A106" s="3" t="s">
        <v>692</v>
      </c>
      <c r="B106" s="3" t="s">
        <v>688</v>
      </c>
      <c r="C106" s="3"/>
      <c r="D106" s="3" t="s">
        <v>693</v>
      </c>
      <c r="E106" s="3" t="s">
        <v>694</v>
      </c>
      <c r="F106" s="3" t="s">
        <v>107</v>
      </c>
      <c r="G106" s="10">
        <v>26.06</v>
      </c>
      <c r="H106" s="10">
        <v>4895</v>
      </c>
      <c r="I106" s="11">
        <v>127564</v>
      </c>
      <c r="J106" s="8">
        <f t="shared" si="2"/>
        <v>127564</v>
      </c>
      <c r="K106" s="8">
        <f t="shared" si="3"/>
        <v>0</v>
      </c>
      <c r="L106" s="3"/>
      <c r="M106" s="3">
        <v>11</v>
      </c>
      <c r="N106" s="3" t="s">
        <v>358</v>
      </c>
      <c r="O106" s="3" t="s">
        <v>56</v>
      </c>
      <c r="P106" s="3"/>
    </row>
    <row r="107" spans="1:16" ht="14" customHeight="1">
      <c r="A107" s="4" t="s">
        <v>695</v>
      </c>
      <c r="B107" s="4" t="s">
        <v>688</v>
      </c>
      <c r="C107" s="4"/>
      <c r="D107" s="4" t="s">
        <v>696</v>
      </c>
      <c r="E107" s="4" t="s">
        <v>697</v>
      </c>
      <c r="F107" s="4" t="s">
        <v>107</v>
      </c>
      <c r="G107" s="12">
        <v>289.12</v>
      </c>
      <c r="H107" s="12">
        <v>1910</v>
      </c>
      <c r="I107" s="13">
        <v>552219</v>
      </c>
      <c r="J107" s="9">
        <f t="shared" si="2"/>
        <v>552219</v>
      </c>
      <c r="K107" s="9">
        <f t="shared" si="3"/>
        <v>0</v>
      </c>
      <c r="L107" s="4"/>
      <c r="M107" s="4">
        <v>11</v>
      </c>
      <c r="N107" s="4" t="s">
        <v>358</v>
      </c>
      <c r="O107" s="4" t="s">
        <v>56</v>
      </c>
      <c r="P107" s="4"/>
    </row>
    <row r="108" spans="1:16" ht="14" customHeight="1">
      <c r="A108" s="3" t="s">
        <v>698</v>
      </c>
      <c r="B108" s="3" t="s">
        <v>688</v>
      </c>
      <c r="C108" s="3"/>
      <c r="D108" s="3" t="s">
        <v>699</v>
      </c>
      <c r="E108" s="3" t="s">
        <v>700</v>
      </c>
      <c r="F108" s="3" t="s">
        <v>107</v>
      </c>
      <c r="G108" s="10">
        <v>660.54</v>
      </c>
      <c r="H108" s="10">
        <v>1480</v>
      </c>
      <c r="I108" s="11">
        <v>977599</v>
      </c>
      <c r="J108" s="8">
        <f t="shared" si="2"/>
        <v>977599</v>
      </c>
      <c r="K108" s="8">
        <f t="shared" si="3"/>
        <v>0</v>
      </c>
      <c r="L108" s="3"/>
      <c r="M108" s="3">
        <v>11</v>
      </c>
      <c r="N108" s="3" t="s">
        <v>358</v>
      </c>
      <c r="O108" s="3" t="s">
        <v>56</v>
      </c>
      <c r="P108" s="3"/>
    </row>
    <row r="109" spans="1:16" ht="14" customHeight="1">
      <c r="A109" s="4" t="s">
        <v>701</v>
      </c>
      <c r="B109" s="4" t="s">
        <v>688</v>
      </c>
      <c r="C109" s="4"/>
      <c r="D109" s="4" t="s">
        <v>702</v>
      </c>
      <c r="E109" s="4" t="s">
        <v>703</v>
      </c>
      <c r="F109" s="4" t="s">
        <v>162</v>
      </c>
      <c r="G109" s="12">
        <v>320.95</v>
      </c>
      <c r="H109" s="12">
        <v>350</v>
      </c>
      <c r="I109" s="13">
        <v>112333</v>
      </c>
      <c r="J109" s="9">
        <f t="shared" si="2"/>
        <v>112333</v>
      </c>
      <c r="K109" s="9">
        <f t="shared" si="3"/>
        <v>0</v>
      </c>
      <c r="L109" s="4"/>
      <c r="M109" s="4">
        <v>11</v>
      </c>
      <c r="N109" s="4" t="s">
        <v>358</v>
      </c>
      <c r="O109" s="4" t="s">
        <v>56</v>
      </c>
      <c r="P109" s="4"/>
    </row>
    <row r="110" spans="1:16" ht="14" customHeight="1">
      <c r="A110" s="3" t="s">
        <v>704</v>
      </c>
      <c r="B110" s="3" t="s">
        <v>688</v>
      </c>
      <c r="C110" s="3"/>
      <c r="D110" s="3" t="s">
        <v>705</v>
      </c>
      <c r="E110" s="3" t="s">
        <v>706</v>
      </c>
      <c r="F110" s="3" t="s">
        <v>107</v>
      </c>
      <c r="G110" s="10">
        <v>1283.17</v>
      </c>
      <c r="H110" s="10">
        <v>930</v>
      </c>
      <c r="I110" s="11">
        <v>1193348</v>
      </c>
      <c r="J110" s="8">
        <f t="shared" si="2"/>
        <v>1193348</v>
      </c>
      <c r="K110" s="8">
        <f t="shared" si="3"/>
        <v>0</v>
      </c>
      <c r="L110" s="3" t="s">
        <v>707</v>
      </c>
      <c r="M110" s="3">
        <v>11</v>
      </c>
      <c r="N110" s="3" t="s">
        <v>358</v>
      </c>
      <c r="O110" s="3" t="s">
        <v>56</v>
      </c>
      <c r="P110" s="3"/>
    </row>
    <row r="111" spans="1:16" ht="14" customHeight="1">
      <c r="A111" s="4" t="s">
        <v>708</v>
      </c>
      <c r="B111" s="4" t="s">
        <v>688</v>
      </c>
      <c r="C111" s="4"/>
      <c r="D111" s="4" t="s">
        <v>709</v>
      </c>
      <c r="E111" s="4" t="s">
        <v>710</v>
      </c>
      <c r="F111" s="4" t="s">
        <v>162</v>
      </c>
      <c r="G111" s="12">
        <v>11.54</v>
      </c>
      <c r="H111" s="12">
        <v>350</v>
      </c>
      <c r="I111" s="13">
        <v>4039</v>
      </c>
      <c r="J111" s="9">
        <f t="shared" si="2"/>
        <v>4039</v>
      </c>
      <c r="K111" s="9">
        <f t="shared" si="3"/>
        <v>0</v>
      </c>
      <c r="L111" s="4"/>
      <c r="M111" s="4">
        <v>11</v>
      </c>
      <c r="N111" s="4" t="s">
        <v>358</v>
      </c>
      <c r="O111" s="4" t="s">
        <v>56</v>
      </c>
      <c r="P111" s="4"/>
    </row>
    <row r="112" spans="1:16" ht="14" customHeight="1">
      <c r="A112" s="3" t="s">
        <v>711</v>
      </c>
      <c r="B112" s="3" t="s">
        <v>688</v>
      </c>
      <c r="C112" s="3"/>
      <c r="D112" s="3" t="s">
        <v>712</v>
      </c>
      <c r="E112" s="3" t="s">
        <v>713</v>
      </c>
      <c r="F112" s="3" t="s">
        <v>107</v>
      </c>
      <c r="G112" s="10">
        <v>406.44</v>
      </c>
      <c r="H112" s="10">
        <v>650</v>
      </c>
      <c r="I112" s="11">
        <v>264186</v>
      </c>
      <c r="J112" s="8">
        <f t="shared" si="2"/>
        <v>264186</v>
      </c>
      <c r="K112" s="8">
        <f t="shared" si="3"/>
        <v>0</v>
      </c>
      <c r="L112" s="3"/>
      <c r="M112" s="3">
        <v>11</v>
      </c>
      <c r="N112" s="3" t="s">
        <v>358</v>
      </c>
      <c r="O112" s="3" t="s">
        <v>56</v>
      </c>
      <c r="P112" s="3"/>
    </row>
    <row r="113" spans="1:16" ht="14" customHeight="1">
      <c r="A113" s="4" t="s">
        <v>714</v>
      </c>
      <c r="B113" s="4" t="s">
        <v>688</v>
      </c>
      <c r="C113" s="4"/>
      <c r="D113" s="4" t="s">
        <v>715</v>
      </c>
      <c r="E113" s="4" t="s">
        <v>716</v>
      </c>
      <c r="F113" s="4" t="s">
        <v>107</v>
      </c>
      <c r="G113" s="12">
        <v>88.79</v>
      </c>
      <c r="H113" s="12">
        <v>1629</v>
      </c>
      <c r="I113" s="13">
        <v>144639</v>
      </c>
      <c r="J113" s="9">
        <f t="shared" si="2"/>
        <v>144639</v>
      </c>
      <c r="K113" s="9">
        <f t="shared" si="3"/>
        <v>0</v>
      </c>
      <c r="L113" s="4"/>
      <c r="M113" s="4">
        <v>11</v>
      </c>
      <c r="N113" s="4" t="s">
        <v>358</v>
      </c>
      <c r="O113" s="4" t="s">
        <v>56</v>
      </c>
      <c r="P113" s="4"/>
    </row>
    <row r="114" spans="1:16" ht="14" customHeight="1">
      <c r="A114" s="3" t="s">
        <v>717</v>
      </c>
      <c r="B114" s="3" t="s">
        <v>688</v>
      </c>
      <c r="C114" s="3"/>
      <c r="D114" s="3" t="s">
        <v>718</v>
      </c>
      <c r="E114" s="3" t="s">
        <v>719</v>
      </c>
      <c r="F114" s="3" t="s">
        <v>107</v>
      </c>
      <c r="G114" s="10">
        <v>358.44</v>
      </c>
      <c r="H114" s="10">
        <v>8000</v>
      </c>
      <c r="I114" s="11">
        <v>2867520</v>
      </c>
      <c r="J114" s="8">
        <f t="shared" si="2"/>
        <v>2867520</v>
      </c>
      <c r="K114" s="8">
        <f t="shared" si="3"/>
        <v>0</v>
      </c>
      <c r="L114" s="3" t="s">
        <v>720</v>
      </c>
      <c r="M114" s="3">
        <v>11</v>
      </c>
      <c r="N114" s="3" t="s">
        <v>358</v>
      </c>
      <c r="O114" s="3" t="s">
        <v>56</v>
      </c>
      <c r="P114" s="3"/>
    </row>
    <row r="115" spans="1:16" ht="14" customHeight="1">
      <c r="A115" s="4" t="s">
        <v>721</v>
      </c>
      <c r="B115" s="4" t="s">
        <v>688</v>
      </c>
      <c r="C115" s="4"/>
      <c r="D115" s="4" t="s">
        <v>722</v>
      </c>
      <c r="E115" s="4" t="s">
        <v>723</v>
      </c>
      <c r="F115" s="4" t="s">
        <v>151</v>
      </c>
      <c r="G115" s="12">
        <v>1</v>
      </c>
      <c r="H115" s="12">
        <v>200000</v>
      </c>
      <c r="I115" s="13">
        <v>200000</v>
      </c>
      <c r="J115" s="9">
        <f t="shared" si="2"/>
        <v>200000</v>
      </c>
      <c r="K115" s="9">
        <f t="shared" si="3"/>
        <v>0</v>
      </c>
      <c r="L115" s="4"/>
      <c r="M115" s="4">
        <v>11</v>
      </c>
      <c r="N115" s="4" t="s">
        <v>358</v>
      </c>
      <c r="O115" s="4" t="s">
        <v>56</v>
      </c>
      <c r="P115" s="4"/>
    </row>
    <row r="116" spans="1:16" ht="14" customHeight="1">
      <c r="A116" s="3" t="s">
        <v>724</v>
      </c>
      <c r="B116" s="3" t="s">
        <v>688</v>
      </c>
      <c r="C116" s="3"/>
      <c r="D116" s="3" t="s">
        <v>725</v>
      </c>
      <c r="E116" s="3" t="s">
        <v>726</v>
      </c>
      <c r="F116" s="3" t="s">
        <v>107</v>
      </c>
      <c r="G116" s="10">
        <v>68.5</v>
      </c>
      <c r="H116" s="10">
        <v>970</v>
      </c>
      <c r="I116" s="11">
        <v>66445</v>
      </c>
      <c r="J116" s="8">
        <f t="shared" si="2"/>
        <v>66445</v>
      </c>
      <c r="K116" s="8">
        <f t="shared" si="3"/>
        <v>0</v>
      </c>
      <c r="L116" s="3" t="s">
        <v>727</v>
      </c>
      <c r="M116" s="3">
        <v>11</v>
      </c>
      <c r="N116" s="3" t="s">
        <v>358</v>
      </c>
      <c r="O116" s="3" t="s">
        <v>56</v>
      </c>
      <c r="P116" s="3"/>
    </row>
    <row r="117" spans="1:16" ht="14" customHeight="1">
      <c r="A117" s="4" t="s">
        <v>728</v>
      </c>
      <c r="B117" s="4" t="s">
        <v>688</v>
      </c>
      <c r="C117" s="4"/>
      <c r="D117" s="4" t="s">
        <v>729</v>
      </c>
      <c r="E117" s="4" t="s">
        <v>730</v>
      </c>
      <c r="F117" s="4" t="s">
        <v>107</v>
      </c>
      <c r="G117" s="12">
        <v>115.15</v>
      </c>
      <c r="H117" s="12">
        <v>297</v>
      </c>
      <c r="I117" s="13">
        <v>34200</v>
      </c>
      <c r="J117" s="9">
        <f t="shared" si="2"/>
        <v>34200</v>
      </c>
      <c r="K117" s="9">
        <f t="shared" si="3"/>
        <v>0</v>
      </c>
      <c r="L117" s="4" t="s">
        <v>657</v>
      </c>
      <c r="M117" s="4">
        <v>11</v>
      </c>
      <c r="N117" s="4" t="s">
        <v>358</v>
      </c>
      <c r="O117" s="4" t="s">
        <v>56</v>
      </c>
      <c r="P117" s="4"/>
    </row>
    <row r="118" spans="1:16" ht="14" customHeight="1">
      <c r="A118" s="3" t="s">
        <v>731</v>
      </c>
      <c r="B118" s="3" t="s">
        <v>688</v>
      </c>
      <c r="C118" s="3"/>
      <c r="D118" s="3" t="s">
        <v>732</v>
      </c>
      <c r="E118" s="3" t="s">
        <v>733</v>
      </c>
      <c r="F118" s="3" t="s">
        <v>107</v>
      </c>
      <c r="G118" s="10">
        <v>1988.62</v>
      </c>
      <c r="H118" s="10">
        <v>297</v>
      </c>
      <c r="I118" s="11">
        <v>590620</v>
      </c>
      <c r="J118" s="8">
        <f t="shared" si="2"/>
        <v>590620</v>
      </c>
      <c r="K118" s="8">
        <f t="shared" si="3"/>
        <v>0</v>
      </c>
      <c r="L118" s="3" t="s">
        <v>657</v>
      </c>
      <c r="M118" s="3">
        <v>11</v>
      </c>
      <c r="N118" s="3" t="s">
        <v>358</v>
      </c>
      <c r="O118" s="3" t="s">
        <v>56</v>
      </c>
      <c r="P118" s="3"/>
    </row>
    <row r="119" spans="1:16" ht="14" customHeight="1">
      <c r="A119" s="4" t="s">
        <v>734</v>
      </c>
      <c r="B119" s="4" t="s">
        <v>688</v>
      </c>
      <c r="C119" s="4"/>
      <c r="D119" s="4" t="s">
        <v>735</v>
      </c>
      <c r="E119" s="4" t="s">
        <v>736</v>
      </c>
      <c r="F119" s="4" t="s">
        <v>107</v>
      </c>
      <c r="G119" s="12">
        <v>37.700000000000003</v>
      </c>
      <c r="H119" s="12">
        <v>297</v>
      </c>
      <c r="I119" s="13">
        <v>11197</v>
      </c>
      <c r="J119" s="9">
        <f t="shared" si="2"/>
        <v>11197</v>
      </c>
      <c r="K119" s="9">
        <f t="shared" si="3"/>
        <v>0</v>
      </c>
      <c r="L119" s="4" t="s">
        <v>657</v>
      </c>
      <c r="M119" s="4">
        <v>11</v>
      </c>
      <c r="N119" s="4" t="s">
        <v>358</v>
      </c>
      <c r="O119" s="4" t="s">
        <v>56</v>
      </c>
      <c r="P119" s="4"/>
    </row>
    <row r="120" spans="1:16" ht="14" customHeight="1">
      <c r="A120" s="3" t="s">
        <v>737</v>
      </c>
      <c r="B120" s="3" t="s">
        <v>688</v>
      </c>
      <c r="C120" s="3"/>
      <c r="D120" s="3" t="s">
        <v>738</v>
      </c>
      <c r="E120" s="3" t="s">
        <v>739</v>
      </c>
      <c r="F120" s="3" t="s">
        <v>740</v>
      </c>
      <c r="G120" s="10">
        <v>14</v>
      </c>
      <c r="H120" s="10">
        <v>35000</v>
      </c>
      <c r="I120" s="11">
        <v>490000</v>
      </c>
      <c r="J120" s="8">
        <f t="shared" si="2"/>
        <v>490000</v>
      </c>
      <c r="K120" s="8">
        <f t="shared" si="3"/>
        <v>0</v>
      </c>
      <c r="L120" s="3" t="s">
        <v>720</v>
      </c>
      <c r="M120" s="3">
        <v>11</v>
      </c>
      <c r="N120" s="3" t="s">
        <v>358</v>
      </c>
      <c r="O120" s="3" t="s">
        <v>56</v>
      </c>
      <c r="P120" s="3"/>
    </row>
    <row r="121" spans="1:16" ht="14" customHeight="1">
      <c r="A121" s="4" t="s">
        <v>741</v>
      </c>
      <c r="B121" s="4" t="s">
        <v>688</v>
      </c>
      <c r="C121" s="4"/>
      <c r="D121" s="4" t="s">
        <v>742</v>
      </c>
      <c r="E121" s="4" t="s">
        <v>743</v>
      </c>
      <c r="F121" s="4" t="s">
        <v>740</v>
      </c>
      <c r="G121" s="12">
        <v>13</v>
      </c>
      <c r="H121" s="12">
        <v>54000</v>
      </c>
      <c r="I121" s="13">
        <v>702000</v>
      </c>
      <c r="J121" s="9">
        <f t="shared" si="2"/>
        <v>702000</v>
      </c>
      <c r="K121" s="9">
        <f t="shared" si="3"/>
        <v>0</v>
      </c>
      <c r="L121" s="4" t="s">
        <v>720</v>
      </c>
      <c r="M121" s="4">
        <v>12</v>
      </c>
      <c r="N121" s="4" t="s">
        <v>358</v>
      </c>
      <c r="O121" s="4" t="s">
        <v>56</v>
      </c>
      <c r="P121" s="4"/>
    </row>
    <row r="122" spans="1:16" ht="14" customHeight="1">
      <c r="A122" s="3" t="s">
        <v>744</v>
      </c>
      <c r="B122" s="3" t="s">
        <v>688</v>
      </c>
      <c r="C122" s="3"/>
      <c r="D122" s="3" t="s">
        <v>745</v>
      </c>
      <c r="E122" s="3" t="s">
        <v>746</v>
      </c>
      <c r="F122" s="3" t="s">
        <v>162</v>
      </c>
      <c r="G122" s="10">
        <v>35.43</v>
      </c>
      <c r="H122" s="10">
        <v>350</v>
      </c>
      <c r="I122" s="11">
        <v>12401</v>
      </c>
      <c r="J122" s="8">
        <f t="shared" si="2"/>
        <v>12401</v>
      </c>
      <c r="K122" s="8">
        <f t="shared" si="3"/>
        <v>0</v>
      </c>
      <c r="L122" s="3"/>
      <c r="M122" s="3">
        <v>12</v>
      </c>
      <c r="N122" s="3" t="s">
        <v>358</v>
      </c>
      <c r="O122" s="3" t="s">
        <v>56</v>
      </c>
      <c r="P122" s="3"/>
    </row>
    <row r="123" spans="1:16" ht="14" customHeight="1">
      <c r="A123" s="4" t="s">
        <v>747</v>
      </c>
      <c r="B123" s="4" t="s">
        <v>688</v>
      </c>
      <c r="C123" s="4"/>
      <c r="D123" s="4" t="s">
        <v>748</v>
      </c>
      <c r="E123" s="4" t="s">
        <v>749</v>
      </c>
      <c r="F123" s="4" t="s">
        <v>162</v>
      </c>
      <c r="G123" s="12">
        <v>1207.3699999999999</v>
      </c>
      <c r="H123" s="12">
        <v>240</v>
      </c>
      <c r="I123" s="13">
        <v>289769</v>
      </c>
      <c r="J123" s="9">
        <f t="shared" si="2"/>
        <v>289769</v>
      </c>
      <c r="K123" s="9">
        <f t="shared" si="3"/>
        <v>0</v>
      </c>
      <c r="L123" s="4" t="s">
        <v>657</v>
      </c>
      <c r="M123" s="4">
        <v>12</v>
      </c>
      <c r="N123" s="4" t="s">
        <v>358</v>
      </c>
      <c r="O123" s="4" t="s">
        <v>56</v>
      </c>
      <c r="P123" s="4"/>
    </row>
    <row r="124" spans="1:16" ht="14" customHeight="1">
      <c r="A124" s="3" t="s">
        <v>750</v>
      </c>
      <c r="B124" s="3" t="s">
        <v>688</v>
      </c>
      <c r="C124" s="3"/>
      <c r="D124" s="3" t="s">
        <v>751</v>
      </c>
      <c r="E124" s="3" t="s">
        <v>752</v>
      </c>
      <c r="F124" s="3" t="s">
        <v>162</v>
      </c>
      <c r="G124" s="10">
        <v>40.479999999999997</v>
      </c>
      <c r="H124" s="10">
        <v>680</v>
      </c>
      <c r="I124" s="11">
        <v>27526</v>
      </c>
      <c r="J124" s="8">
        <f t="shared" si="2"/>
        <v>27526</v>
      </c>
      <c r="K124" s="8">
        <f t="shared" si="3"/>
        <v>0</v>
      </c>
      <c r="L124" s="3" t="s">
        <v>753</v>
      </c>
      <c r="M124" s="3">
        <v>12</v>
      </c>
      <c r="N124" s="3" t="s">
        <v>358</v>
      </c>
      <c r="O124" s="3" t="s">
        <v>56</v>
      </c>
      <c r="P124" s="3"/>
    </row>
    <row r="125" spans="1:16" ht="14" customHeight="1">
      <c r="A125" s="4" t="s">
        <v>754</v>
      </c>
      <c r="B125" s="4" t="s">
        <v>688</v>
      </c>
      <c r="C125" s="4"/>
      <c r="D125" s="4" t="s">
        <v>755</v>
      </c>
      <c r="E125" s="4" t="s">
        <v>756</v>
      </c>
      <c r="F125" s="4" t="s">
        <v>357</v>
      </c>
      <c r="G125" s="12">
        <v>1</v>
      </c>
      <c r="H125" s="12">
        <v>100000</v>
      </c>
      <c r="I125" s="13">
        <v>100000</v>
      </c>
      <c r="J125" s="9">
        <f t="shared" si="2"/>
        <v>100000</v>
      </c>
      <c r="K125" s="9">
        <f t="shared" si="3"/>
        <v>0</v>
      </c>
      <c r="L125" s="4"/>
      <c r="M125" s="4">
        <v>12</v>
      </c>
      <c r="N125" s="4" t="s">
        <v>358</v>
      </c>
      <c r="O125" s="4" t="s">
        <v>56</v>
      </c>
      <c r="P125" s="4"/>
    </row>
    <row r="126" spans="1:16" ht="14" customHeight="1">
      <c r="A126" s="3" t="s">
        <v>757</v>
      </c>
      <c r="B126" s="3" t="s">
        <v>58</v>
      </c>
      <c r="C126" s="3"/>
      <c r="D126" s="3" t="s">
        <v>758</v>
      </c>
      <c r="E126" s="3" t="s">
        <v>759</v>
      </c>
      <c r="F126" s="3" t="s">
        <v>166</v>
      </c>
      <c r="G126" s="10">
        <v>4</v>
      </c>
      <c r="H126" s="10">
        <v>10200</v>
      </c>
      <c r="I126" s="11">
        <v>40800</v>
      </c>
      <c r="J126" s="8">
        <f t="shared" si="2"/>
        <v>40800</v>
      </c>
      <c r="K126" s="8">
        <f t="shared" si="3"/>
        <v>0</v>
      </c>
      <c r="L126" s="3" t="s">
        <v>760</v>
      </c>
      <c r="M126" s="3">
        <v>13</v>
      </c>
      <c r="N126" s="3" t="s">
        <v>358</v>
      </c>
      <c r="O126" s="3" t="s">
        <v>58</v>
      </c>
      <c r="P126" s="3"/>
    </row>
    <row r="127" spans="1:16" ht="14" customHeight="1">
      <c r="A127" s="4" t="s">
        <v>761</v>
      </c>
      <c r="B127" s="4" t="s">
        <v>58</v>
      </c>
      <c r="C127" s="4"/>
      <c r="D127" s="4" t="s">
        <v>762</v>
      </c>
      <c r="E127" s="4" t="s">
        <v>763</v>
      </c>
      <c r="F127" s="4" t="s">
        <v>166</v>
      </c>
      <c r="G127" s="12">
        <v>6</v>
      </c>
      <c r="H127" s="12">
        <v>11200</v>
      </c>
      <c r="I127" s="13">
        <v>67200</v>
      </c>
      <c r="J127" s="9">
        <f t="shared" si="2"/>
        <v>67200</v>
      </c>
      <c r="K127" s="9">
        <f t="shared" si="3"/>
        <v>0</v>
      </c>
      <c r="L127" s="4" t="s">
        <v>764</v>
      </c>
      <c r="M127" s="4">
        <v>13</v>
      </c>
      <c r="N127" s="4" t="s">
        <v>358</v>
      </c>
      <c r="O127" s="4" t="s">
        <v>58</v>
      </c>
      <c r="P127" s="4"/>
    </row>
    <row r="128" spans="1:16" ht="14" customHeight="1">
      <c r="A128" s="3" t="s">
        <v>765</v>
      </c>
      <c r="B128" s="3" t="s">
        <v>58</v>
      </c>
      <c r="C128" s="3"/>
      <c r="D128" s="3" t="s">
        <v>766</v>
      </c>
      <c r="E128" s="3" t="s">
        <v>767</v>
      </c>
      <c r="F128" s="3" t="s">
        <v>166</v>
      </c>
      <c r="G128" s="10">
        <v>6</v>
      </c>
      <c r="H128" s="10">
        <v>14400</v>
      </c>
      <c r="I128" s="11">
        <v>86400</v>
      </c>
      <c r="J128" s="8">
        <f t="shared" si="2"/>
        <v>86400</v>
      </c>
      <c r="K128" s="8">
        <f t="shared" si="3"/>
        <v>0</v>
      </c>
      <c r="L128" s="3" t="s">
        <v>768</v>
      </c>
      <c r="M128" s="3">
        <v>13</v>
      </c>
      <c r="N128" s="3" t="s">
        <v>358</v>
      </c>
      <c r="O128" s="3" t="s">
        <v>58</v>
      </c>
      <c r="P128" s="3"/>
    </row>
    <row r="129" spans="1:16" ht="14" customHeight="1">
      <c r="A129" s="4" t="s">
        <v>769</v>
      </c>
      <c r="B129" s="4" t="s">
        <v>58</v>
      </c>
      <c r="C129" s="4"/>
      <c r="D129" s="4" t="s">
        <v>770</v>
      </c>
      <c r="E129" s="4" t="s">
        <v>771</v>
      </c>
      <c r="F129" s="4" t="s">
        <v>166</v>
      </c>
      <c r="G129" s="12">
        <v>3</v>
      </c>
      <c r="H129" s="12">
        <v>24300</v>
      </c>
      <c r="I129" s="13">
        <v>72900</v>
      </c>
      <c r="J129" s="9">
        <f t="shared" si="2"/>
        <v>72900</v>
      </c>
      <c r="K129" s="9">
        <f t="shared" si="3"/>
        <v>0</v>
      </c>
      <c r="L129" s="4" t="s">
        <v>772</v>
      </c>
      <c r="M129" s="4">
        <v>13</v>
      </c>
      <c r="N129" s="4" t="s">
        <v>358</v>
      </c>
      <c r="O129" s="4" t="s">
        <v>58</v>
      </c>
      <c r="P129" s="4"/>
    </row>
    <row r="130" spans="1:16" ht="14" customHeight="1">
      <c r="A130" s="3" t="s">
        <v>773</v>
      </c>
      <c r="B130" s="3" t="s">
        <v>58</v>
      </c>
      <c r="C130" s="3"/>
      <c r="D130" s="3" t="s">
        <v>774</v>
      </c>
      <c r="E130" s="3" t="s">
        <v>775</v>
      </c>
      <c r="F130" s="3" t="s">
        <v>166</v>
      </c>
      <c r="G130" s="10">
        <v>2</v>
      </c>
      <c r="H130" s="10">
        <v>24800</v>
      </c>
      <c r="I130" s="11">
        <v>49600</v>
      </c>
      <c r="J130" s="8">
        <f t="shared" si="2"/>
        <v>49600</v>
      </c>
      <c r="K130" s="8">
        <f t="shared" si="3"/>
        <v>0</v>
      </c>
      <c r="L130" s="3" t="s">
        <v>776</v>
      </c>
      <c r="M130" s="3">
        <v>13</v>
      </c>
      <c r="N130" s="3" t="s">
        <v>358</v>
      </c>
      <c r="O130" s="3" t="s">
        <v>58</v>
      </c>
      <c r="P130" s="3"/>
    </row>
    <row r="131" spans="1:16" ht="14" customHeight="1">
      <c r="A131" s="4" t="s">
        <v>777</v>
      </c>
      <c r="B131" s="4" t="s">
        <v>58</v>
      </c>
      <c r="C131" s="4"/>
      <c r="D131" s="4" t="s">
        <v>778</v>
      </c>
      <c r="E131" s="4" t="s">
        <v>779</v>
      </c>
      <c r="F131" s="4" t="s">
        <v>166</v>
      </c>
      <c r="G131" s="12">
        <v>1</v>
      </c>
      <c r="H131" s="12">
        <v>14000</v>
      </c>
      <c r="I131" s="13">
        <v>14000</v>
      </c>
      <c r="J131" s="9">
        <f t="shared" si="2"/>
        <v>14000</v>
      </c>
      <c r="K131" s="9">
        <f t="shared" si="3"/>
        <v>0</v>
      </c>
      <c r="L131" s="4" t="s">
        <v>768</v>
      </c>
      <c r="M131" s="4">
        <v>13</v>
      </c>
      <c r="N131" s="4" t="s">
        <v>358</v>
      </c>
      <c r="O131" s="4" t="s">
        <v>58</v>
      </c>
      <c r="P131" s="4"/>
    </row>
    <row r="132" spans="1:16" ht="14" customHeight="1">
      <c r="A132" s="3" t="s">
        <v>780</v>
      </c>
      <c r="B132" s="3" t="s">
        <v>58</v>
      </c>
      <c r="C132" s="3"/>
      <c r="D132" s="3" t="s">
        <v>781</v>
      </c>
      <c r="E132" s="3" t="s">
        <v>782</v>
      </c>
      <c r="F132" s="3" t="s">
        <v>166</v>
      </c>
      <c r="G132" s="10">
        <v>3</v>
      </c>
      <c r="H132" s="10">
        <v>14000</v>
      </c>
      <c r="I132" s="11">
        <v>42000</v>
      </c>
      <c r="J132" s="8">
        <f t="shared" si="2"/>
        <v>42000</v>
      </c>
      <c r="K132" s="8">
        <f t="shared" si="3"/>
        <v>0</v>
      </c>
      <c r="L132" s="3" t="s">
        <v>783</v>
      </c>
      <c r="M132" s="3">
        <v>13</v>
      </c>
      <c r="N132" s="3" t="s">
        <v>358</v>
      </c>
      <c r="O132" s="3" t="s">
        <v>58</v>
      </c>
      <c r="P132" s="3"/>
    </row>
    <row r="133" spans="1:16" ht="14" customHeight="1">
      <c r="A133" s="4" t="s">
        <v>784</v>
      </c>
      <c r="B133" s="4" t="s">
        <v>58</v>
      </c>
      <c r="C133" s="4"/>
      <c r="D133" s="4" t="s">
        <v>785</v>
      </c>
      <c r="E133" s="4" t="s">
        <v>786</v>
      </c>
      <c r="F133" s="4" t="s">
        <v>166</v>
      </c>
      <c r="G133" s="12">
        <v>1</v>
      </c>
      <c r="H133" s="12">
        <v>19149</v>
      </c>
      <c r="I133" s="13">
        <v>19149</v>
      </c>
      <c r="J133" s="9">
        <f t="shared" si="2"/>
        <v>19149</v>
      </c>
      <c r="K133" s="9">
        <f t="shared" si="3"/>
        <v>0</v>
      </c>
      <c r="L133" s="4" t="s">
        <v>787</v>
      </c>
      <c r="M133" s="4">
        <v>13</v>
      </c>
      <c r="N133" s="4" t="s">
        <v>358</v>
      </c>
      <c r="O133" s="4" t="s">
        <v>58</v>
      </c>
      <c r="P133" s="4"/>
    </row>
    <row r="134" spans="1:16" ht="14" customHeight="1">
      <c r="A134" s="3" t="s">
        <v>788</v>
      </c>
      <c r="B134" s="3" t="s">
        <v>58</v>
      </c>
      <c r="C134" s="3"/>
      <c r="D134" s="3" t="s">
        <v>789</v>
      </c>
      <c r="E134" s="3" t="s">
        <v>790</v>
      </c>
      <c r="F134" s="3" t="s">
        <v>166</v>
      </c>
      <c r="G134" s="10">
        <v>1</v>
      </c>
      <c r="H134" s="10">
        <v>10293</v>
      </c>
      <c r="I134" s="11">
        <v>10293</v>
      </c>
      <c r="J134" s="8">
        <f t="shared" ref="J134:J197" si="4">IF(OR(G134="",H134=""),"",ROUND(G134*H134,0))</f>
        <v>10293</v>
      </c>
      <c r="K134" s="8">
        <f t="shared" ref="K134:K197" si="5">IF(OR(I134="",J134=""),"",I134-J134)</f>
        <v>0</v>
      </c>
      <c r="L134" s="3" t="s">
        <v>791</v>
      </c>
      <c r="M134" s="3">
        <v>13</v>
      </c>
      <c r="N134" s="3" t="s">
        <v>358</v>
      </c>
      <c r="O134" s="3" t="s">
        <v>58</v>
      </c>
      <c r="P134" s="3"/>
    </row>
    <row r="135" spans="1:16" ht="14" customHeight="1">
      <c r="A135" s="4" t="s">
        <v>792</v>
      </c>
      <c r="B135" s="4" t="s">
        <v>58</v>
      </c>
      <c r="C135" s="4"/>
      <c r="D135" s="4" t="s">
        <v>793</v>
      </c>
      <c r="E135" s="4" t="s">
        <v>794</v>
      </c>
      <c r="F135" s="4" t="s">
        <v>166</v>
      </c>
      <c r="G135" s="12">
        <v>1</v>
      </c>
      <c r="H135" s="12">
        <v>19398</v>
      </c>
      <c r="I135" s="13">
        <v>19398</v>
      </c>
      <c r="J135" s="9">
        <f t="shared" si="4"/>
        <v>19398</v>
      </c>
      <c r="K135" s="9">
        <f t="shared" si="5"/>
        <v>0</v>
      </c>
      <c r="L135" s="4" t="s">
        <v>795</v>
      </c>
      <c r="M135" s="4">
        <v>13</v>
      </c>
      <c r="N135" s="4" t="s">
        <v>358</v>
      </c>
      <c r="O135" s="4" t="s">
        <v>58</v>
      </c>
      <c r="P135" s="4"/>
    </row>
    <row r="136" spans="1:16" ht="14" customHeight="1">
      <c r="A136" s="3" t="s">
        <v>796</v>
      </c>
      <c r="B136" s="3" t="s">
        <v>58</v>
      </c>
      <c r="C136" s="3"/>
      <c r="D136" s="3" t="s">
        <v>797</v>
      </c>
      <c r="E136" s="3" t="s">
        <v>798</v>
      </c>
      <c r="F136" s="3" t="s">
        <v>166</v>
      </c>
      <c r="G136" s="10">
        <v>1</v>
      </c>
      <c r="H136" s="10">
        <v>25692</v>
      </c>
      <c r="I136" s="11">
        <v>25692</v>
      </c>
      <c r="J136" s="8">
        <f t="shared" si="4"/>
        <v>25692</v>
      </c>
      <c r="K136" s="8">
        <f t="shared" si="5"/>
        <v>0</v>
      </c>
      <c r="L136" s="3" t="s">
        <v>799</v>
      </c>
      <c r="M136" s="3">
        <v>13</v>
      </c>
      <c r="N136" s="3" t="s">
        <v>358</v>
      </c>
      <c r="O136" s="3" t="s">
        <v>58</v>
      </c>
      <c r="P136" s="3"/>
    </row>
    <row r="137" spans="1:16" ht="14" customHeight="1">
      <c r="A137" s="4" t="s">
        <v>800</v>
      </c>
      <c r="B137" s="4" t="s">
        <v>58</v>
      </c>
      <c r="C137" s="4"/>
      <c r="D137" s="4" t="s">
        <v>801</v>
      </c>
      <c r="E137" s="4" t="s">
        <v>802</v>
      </c>
      <c r="F137" s="4" t="s">
        <v>166</v>
      </c>
      <c r="G137" s="12">
        <v>1</v>
      </c>
      <c r="H137" s="12">
        <v>13172</v>
      </c>
      <c r="I137" s="13">
        <v>13172</v>
      </c>
      <c r="J137" s="9">
        <f t="shared" si="4"/>
        <v>13172</v>
      </c>
      <c r="K137" s="9">
        <f t="shared" si="5"/>
        <v>0</v>
      </c>
      <c r="L137" s="4" t="s">
        <v>803</v>
      </c>
      <c r="M137" s="4">
        <v>13</v>
      </c>
      <c r="N137" s="4" t="s">
        <v>358</v>
      </c>
      <c r="O137" s="4" t="s">
        <v>58</v>
      </c>
      <c r="P137" s="4"/>
    </row>
    <row r="138" spans="1:16" ht="14" customHeight="1">
      <c r="A138" s="3" t="s">
        <v>804</v>
      </c>
      <c r="B138" s="3" t="s">
        <v>58</v>
      </c>
      <c r="C138" s="3"/>
      <c r="D138" s="3" t="s">
        <v>805</v>
      </c>
      <c r="E138" s="3" t="s">
        <v>806</v>
      </c>
      <c r="F138" s="3" t="s">
        <v>166</v>
      </c>
      <c r="G138" s="10">
        <v>1</v>
      </c>
      <c r="H138" s="10">
        <v>13172</v>
      </c>
      <c r="I138" s="11">
        <v>13172</v>
      </c>
      <c r="J138" s="8">
        <f t="shared" si="4"/>
        <v>13172</v>
      </c>
      <c r="K138" s="8">
        <f t="shared" si="5"/>
        <v>0</v>
      </c>
      <c r="L138" s="3" t="s">
        <v>803</v>
      </c>
      <c r="M138" s="3">
        <v>13</v>
      </c>
      <c r="N138" s="3" t="s">
        <v>358</v>
      </c>
      <c r="O138" s="3" t="s">
        <v>58</v>
      </c>
      <c r="P138" s="3"/>
    </row>
    <row r="139" spans="1:16" ht="14" customHeight="1">
      <c r="A139" s="4" t="s">
        <v>807</v>
      </c>
      <c r="B139" s="4" t="s">
        <v>58</v>
      </c>
      <c r="C139" s="4"/>
      <c r="D139" s="4" t="s">
        <v>808</v>
      </c>
      <c r="E139" s="4" t="s">
        <v>809</v>
      </c>
      <c r="F139" s="4" t="s">
        <v>166</v>
      </c>
      <c r="G139" s="12">
        <v>1</v>
      </c>
      <c r="H139" s="12">
        <v>55000</v>
      </c>
      <c r="I139" s="13">
        <v>55000</v>
      </c>
      <c r="J139" s="9">
        <f t="shared" si="4"/>
        <v>55000</v>
      </c>
      <c r="K139" s="9">
        <f t="shared" si="5"/>
        <v>0</v>
      </c>
      <c r="L139" s="4" t="s">
        <v>810</v>
      </c>
      <c r="M139" s="4">
        <v>13</v>
      </c>
      <c r="N139" s="4" t="s">
        <v>358</v>
      </c>
      <c r="O139" s="4" t="s">
        <v>58</v>
      </c>
      <c r="P139" s="4"/>
    </row>
    <row r="140" spans="1:16" ht="14" customHeight="1">
      <c r="A140" s="3" t="s">
        <v>811</v>
      </c>
      <c r="B140" s="3" t="s">
        <v>58</v>
      </c>
      <c r="C140" s="3"/>
      <c r="D140" s="3" t="s">
        <v>812</v>
      </c>
      <c r="E140" s="3" t="s">
        <v>813</v>
      </c>
      <c r="F140" s="3" t="s">
        <v>166</v>
      </c>
      <c r="G140" s="10">
        <v>2</v>
      </c>
      <c r="H140" s="10">
        <v>37600</v>
      </c>
      <c r="I140" s="11">
        <v>75200</v>
      </c>
      <c r="J140" s="8">
        <f t="shared" si="4"/>
        <v>75200</v>
      </c>
      <c r="K140" s="8">
        <f t="shared" si="5"/>
        <v>0</v>
      </c>
      <c r="L140" s="3" t="s">
        <v>772</v>
      </c>
      <c r="M140" s="3">
        <v>14</v>
      </c>
      <c r="N140" s="3" t="s">
        <v>358</v>
      </c>
      <c r="O140" s="3" t="s">
        <v>58</v>
      </c>
      <c r="P140" s="3"/>
    </row>
    <row r="141" spans="1:16" ht="14" customHeight="1">
      <c r="A141" s="4" t="s">
        <v>814</v>
      </c>
      <c r="B141" s="4" t="s">
        <v>58</v>
      </c>
      <c r="C141" s="4"/>
      <c r="D141" s="4" t="s">
        <v>815</v>
      </c>
      <c r="E141" s="4" t="s">
        <v>816</v>
      </c>
      <c r="F141" s="4" t="s">
        <v>166</v>
      </c>
      <c r="G141" s="12">
        <v>1</v>
      </c>
      <c r="H141" s="12">
        <v>54400</v>
      </c>
      <c r="I141" s="13">
        <v>54400</v>
      </c>
      <c r="J141" s="9">
        <f t="shared" si="4"/>
        <v>54400</v>
      </c>
      <c r="K141" s="9">
        <f t="shared" si="5"/>
        <v>0</v>
      </c>
      <c r="L141" s="4" t="s">
        <v>772</v>
      </c>
      <c r="M141" s="4">
        <v>14</v>
      </c>
      <c r="N141" s="4" t="s">
        <v>358</v>
      </c>
      <c r="O141" s="4" t="s">
        <v>58</v>
      </c>
      <c r="P141" s="4"/>
    </row>
    <row r="142" spans="1:16" ht="14" customHeight="1">
      <c r="A142" s="3" t="s">
        <v>817</v>
      </c>
      <c r="B142" s="3" t="s">
        <v>58</v>
      </c>
      <c r="C142" s="3"/>
      <c r="D142" s="3" t="s">
        <v>818</v>
      </c>
      <c r="E142" s="3" t="s">
        <v>819</v>
      </c>
      <c r="F142" s="3" t="s">
        <v>166</v>
      </c>
      <c r="G142" s="10">
        <v>1</v>
      </c>
      <c r="H142" s="10">
        <v>39500</v>
      </c>
      <c r="I142" s="11">
        <v>39500</v>
      </c>
      <c r="J142" s="8">
        <f t="shared" si="4"/>
        <v>39500</v>
      </c>
      <c r="K142" s="8">
        <f t="shared" si="5"/>
        <v>0</v>
      </c>
      <c r="L142" s="3" t="s">
        <v>820</v>
      </c>
      <c r="M142" s="3">
        <v>14</v>
      </c>
      <c r="N142" s="3" t="s">
        <v>358</v>
      </c>
      <c r="O142" s="3" t="s">
        <v>58</v>
      </c>
      <c r="P142" s="3"/>
    </row>
    <row r="143" spans="1:16" ht="14" customHeight="1">
      <c r="A143" s="4" t="s">
        <v>821</v>
      </c>
      <c r="B143" s="4" t="s">
        <v>58</v>
      </c>
      <c r="C143" s="4"/>
      <c r="D143" s="4" t="s">
        <v>822</v>
      </c>
      <c r="E143" s="4" t="s">
        <v>823</v>
      </c>
      <c r="F143" s="4" t="s">
        <v>166</v>
      </c>
      <c r="G143" s="12">
        <v>1</v>
      </c>
      <c r="H143" s="12">
        <v>133431</v>
      </c>
      <c r="I143" s="13">
        <v>133431</v>
      </c>
      <c r="J143" s="9">
        <f t="shared" si="4"/>
        <v>133431</v>
      </c>
      <c r="K143" s="9">
        <f t="shared" si="5"/>
        <v>0</v>
      </c>
      <c r="L143" s="4" t="s">
        <v>824</v>
      </c>
      <c r="M143" s="4">
        <v>14</v>
      </c>
      <c r="N143" s="4" t="s">
        <v>358</v>
      </c>
      <c r="O143" s="4" t="s">
        <v>58</v>
      </c>
      <c r="P143" s="4"/>
    </row>
    <row r="144" spans="1:16" ht="14" customHeight="1">
      <c r="A144" s="3" t="s">
        <v>825</v>
      </c>
      <c r="B144" s="3" t="s">
        <v>58</v>
      </c>
      <c r="C144" s="3"/>
      <c r="D144" s="3" t="s">
        <v>826</v>
      </c>
      <c r="E144" s="3" t="s">
        <v>827</v>
      </c>
      <c r="F144" s="3" t="s">
        <v>166</v>
      </c>
      <c r="G144" s="10">
        <v>5</v>
      </c>
      <c r="H144" s="10">
        <v>56600</v>
      </c>
      <c r="I144" s="11">
        <v>283000</v>
      </c>
      <c r="J144" s="8">
        <f t="shared" si="4"/>
        <v>283000</v>
      </c>
      <c r="K144" s="8">
        <f t="shared" si="5"/>
        <v>0</v>
      </c>
      <c r="L144" s="3" t="s">
        <v>828</v>
      </c>
      <c r="M144" s="3">
        <v>14</v>
      </c>
      <c r="N144" s="3" t="s">
        <v>358</v>
      </c>
      <c r="O144" s="3" t="s">
        <v>58</v>
      </c>
      <c r="P144" s="3"/>
    </row>
    <row r="145" spans="1:16" ht="14" customHeight="1">
      <c r="A145" s="4" t="s">
        <v>829</v>
      </c>
      <c r="B145" s="4" t="s">
        <v>58</v>
      </c>
      <c r="C145" s="4"/>
      <c r="D145" s="4" t="s">
        <v>830</v>
      </c>
      <c r="E145" s="4" t="s">
        <v>831</v>
      </c>
      <c r="F145" s="4" t="s">
        <v>166</v>
      </c>
      <c r="G145" s="12">
        <v>1</v>
      </c>
      <c r="H145" s="12">
        <v>12200</v>
      </c>
      <c r="I145" s="13">
        <v>12200</v>
      </c>
      <c r="J145" s="9">
        <f t="shared" si="4"/>
        <v>12200</v>
      </c>
      <c r="K145" s="9">
        <f t="shared" si="5"/>
        <v>0</v>
      </c>
      <c r="L145" s="4" t="s">
        <v>764</v>
      </c>
      <c r="M145" s="4">
        <v>14</v>
      </c>
      <c r="N145" s="4" t="s">
        <v>358</v>
      </c>
      <c r="O145" s="4" t="s">
        <v>58</v>
      </c>
      <c r="P145" s="4"/>
    </row>
    <row r="146" spans="1:16" ht="14" customHeight="1">
      <c r="A146" s="3" t="s">
        <v>832</v>
      </c>
      <c r="B146" s="3" t="s">
        <v>58</v>
      </c>
      <c r="C146" s="3"/>
      <c r="D146" s="3" t="s">
        <v>833</v>
      </c>
      <c r="E146" s="3" t="s">
        <v>834</v>
      </c>
      <c r="F146" s="3" t="s">
        <v>166</v>
      </c>
      <c r="G146" s="10">
        <v>3</v>
      </c>
      <c r="H146" s="10">
        <v>35500</v>
      </c>
      <c r="I146" s="11">
        <v>106500</v>
      </c>
      <c r="J146" s="8">
        <f t="shared" si="4"/>
        <v>106500</v>
      </c>
      <c r="K146" s="8">
        <f t="shared" si="5"/>
        <v>0</v>
      </c>
      <c r="L146" s="3" t="s">
        <v>828</v>
      </c>
      <c r="M146" s="3">
        <v>14</v>
      </c>
      <c r="N146" s="3" t="s">
        <v>358</v>
      </c>
      <c r="O146" s="3" t="s">
        <v>58</v>
      </c>
      <c r="P146" s="3"/>
    </row>
    <row r="147" spans="1:16" ht="14" customHeight="1">
      <c r="A147" s="4" t="s">
        <v>835</v>
      </c>
      <c r="B147" s="4" t="s">
        <v>58</v>
      </c>
      <c r="C147" s="4"/>
      <c r="D147" s="4" t="s">
        <v>836</v>
      </c>
      <c r="E147" s="4" t="s">
        <v>837</v>
      </c>
      <c r="F147" s="4" t="s">
        <v>166</v>
      </c>
      <c r="G147" s="12">
        <v>1</v>
      </c>
      <c r="H147" s="12">
        <v>35500</v>
      </c>
      <c r="I147" s="13">
        <v>35500</v>
      </c>
      <c r="J147" s="9">
        <f t="shared" si="4"/>
        <v>35500</v>
      </c>
      <c r="K147" s="9">
        <f t="shared" si="5"/>
        <v>0</v>
      </c>
      <c r="L147" s="4" t="s">
        <v>828</v>
      </c>
      <c r="M147" s="4">
        <v>14</v>
      </c>
      <c r="N147" s="4" t="s">
        <v>358</v>
      </c>
      <c r="O147" s="4" t="s">
        <v>58</v>
      </c>
      <c r="P147" s="4"/>
    </row>
    <row r="148" spans="1:16" ht="14" customHeight="1">
      <c r="A148" s="3" t="s">
        <v>838</v>
      </c>
      <c r="B148" s="3" t="s">
        <v>58</v>
      </c>
      <c r="C148" s="3"/>
      <c r="D148" s="3" t="s">
        <v>839</v>
      </c>
      <c r="E148" s="3" t="s">
        <v>840</v>
      </c>
      <c r="F148" s="3" t="s">
        <v>166</v>
      </c>
      <c r="G148" s="10">
        <v>1</v>
      </c>
      <c r="H148" s="10">
        <v>59300</v>
      </c>
      <c r="I148" s="11">
        <v>59300</v>
      </c>
      <c r="J148" s="8">
        <f t="shared" si="4"/>
        <v>59300</v>
      </c>
      <c r="K148" s="8">
        <f t="shared" si="5"/>
        <v>0</v>
      </c>
      <c r="L148" s="3" t="s">
        <v>772</v>
      </c>
      <c r="M148" s="3">
        <v>14</v>
      </c>
      <c r="N148" s="3" t="s">
        <v>358</v>
      </c>
      <c r="O148" s="3" t="s">
        <v>58</v>
      </c>
      <c r="P148" s="3"/>
    </row>
    <row r="149" spans="1:16" ht="14" customHeight="1">
      <c r="A149" s="4" t="s">
        <v>841</v>
      </c>
      <c r="B149" s="4" t="s">
        <v>58</v>
      </c>
      <c r="C149" s="4"/>
      <c r="D149" s="4" t="s">
        <v>842</v>
      </c>
      <c r="E149" s="4" t="s">
        <v>843</v>
      </c>
      <c r="F149" s="4" t="s">
        <v>166</v>
      </c>
      <c r="G149" s="12">
        <v>8</v>
      </c>
      <c r="H149" s="12">
        <v>24800</v>
      </c>
      <c r="I149" s="13">
        <v>198400</v>
      </c>
      <c r="J149" s="9">
        <f t="shared" si="4"/>
        <v>198400</v>
      </c>
      <c r="K149" s="9">
        <f t="shared" si="5"/>
        <v>0</v>
      </c>
      <c r="L149" s="4" t="s">
        <v>772</v>
      </c>
      <c r="M149" s="4">
        <v>14</v>
      </c>
      <c r="N149" s="4" t="s">
        <v>358</v>
      </c>
      <c r="O149" s="4" t="s">
        <v>58</v>
      </c>
      <c r="P149" s="4"/>
    </row>
    <row r="150" spans="1:16" ht="14" customHeight="1">
      <c r="A150" s="3" t="s">
        <v>844</v>
      </c>
      <c r="B150" s="3" t="s">
        <v>58</v>
      </c>
      <c r="C150" s="3"/>
      <c r="D150" s="3" t="s">
        <v>845</v>
      </c>
      <c r="E150" s="3" t="s">
        <v>846</v>
      </c>
      <c r="F150" s="3" t="s">
        <v>166</v>
      </c>
      <c r="G150" s="10">
        <v>1</v>
      </c>
      <c r="H150" s="10">
        <v>24800</v>
      </c>
      <c r="I150" s="11">
        <v>24800</v>
      </c>
      <c r="J150" s="8">
        <f t="shared" si="4"/>
        <v>24800</v>
      </c>
      <c r="K150" s="8">
        <f t="shared" si="5"/>
        <v>0</v>
      </c>
      <c r="L150" s="3" t="s">
        <v>772</v>
      </c>
      <c r="M150" s="3">
        <v>14</v>
      </c>
      <c r="N150" s="3" t="s">
        <v>358</v>
      </c>
      <c r="O150" s="3" t="s">
        <v>58</v>
      </c>
      <c r="P150" s="3"/>
    </row>
    <row r="151" spans="1:16" ht="14" customHeight="1">
      <c r="A151" s="4" t="s">
        <v>847</v>
      </c>
      <c r="B151" s="4" t="s">
        <v>58</v>
      </c>
      <c r="C151" s="4"/>
      <c r="D151" s="4" t="s">
        <v>848</v>
      </c>
      <c r="E151" s="4" t="s">
        <v>849</v>
      </c>
      <c r="F151" s="4" t="s">
        <v>166</v>
      </c>
      <c r="G151" s="12">
        <v>2</v>
      </c>
      <c r="H151" s="12">
        <v>21300</v>
      </c>
      <c r="I151" s="13">
        <v>42600</v>
      </c>
      <c r="J151" s="9">
        <f t="shared" si="4"/>
        <v>42600</v>
      </c>
      <c r="K151" s="9">
        <f t="shared" si="5"/>
        <v>0</v>
      </c>
      <c r="L151" s="4" t="s">
        <v>772</v>
      </c>
      <c r="M151" s="4">
        <v>15</v>
      </c>
      <c r="N151" s="4" t="s">
        <v>358</v>
      </c>
      <c r="O151" s="4" t="s">
        <v>58</v>
      </c>
      <c r="P151" s="4"/>
    </row>
    <row r="152" spans="1:16" ht="14" customHeight="1">
      <c r="A152" s="3" t="s">
        <v>850</v>
      </c>
      <c r="B152" s="3" t="s">
        <v>58</v>
      </c>
      <c r="C152" s="3"/>
      <c r="D152" s="3" t="s">
        <v>851</v>
      </c>
      <c r="E152" s="3" t="s">
        <v>852</v>
      </c>
      <c r="F152" s="3" t="s">
        <v>166</v>
      </c>
      <c r="G152" s="10">
        <v>1</v>
      </c>
      <c r="H152" s="10">
        <v>43200</v>
      </c>
      <c r="I152" s="11">
        <v>43200</v>
      </c>
      <c r="J152" s="8">
        <f t="shared" si="4"/>
        <v>43200</v>
      </c>
      <c r="K152" s="8">
        <f t="shared" si="5"/>
        <v>0</v>
      </c>
      <c r="L152" s="3" t="s">
        <v>772</v>
      </c>
      <c r="M152" s="3">
        <v>15</v>
      </c>
      <c r="N152" s="3" t="s">
        <v>358</v>
      </c>
      <c r="O152" s="3" t="s">
        <v>58</v>
      </c>
      <c r="P152" s="3"/>
    </row>
    <row r="153" spans="1:16" ht="14" customHeight="1">
      <c r="A153" s="4" t="s">
        <v>853</v>
      </c>
      <c r="B153" s="4" t="s">
        <v>58</v>
      </c>
      <c r="C153" s="4"/>
      <c r="D153" s="4" t="s">
        <v>854</v>
      </c>
      <c r="E153" s="4" t="s">
        <v>855</v>
      </c>
      <c r="F153" s="4" t="s">
        <v>166</v>
      </c>
      <c r="G153" s="12">
        <v>1</v>
      </c>
      <c r="H153" s="12">
        <v>20400</v>
      </c>
      <c r="I153" s="13">
        <v>20400</v>
      </c>
      <c r="J153" s="9">
        <f t="shared" si="4"/>
        <v>20400</v>
      </c>
      <c r="K153" s="9">
        <f t="shared" si="5"/>
        <v>0</v>
      </c>
      <c r="L153" s="4" t="s">
        <v>772</v>
      </c>
      <c r="M153" s="4">
        <v>15</v>
      </c>
      <c r="N153" s="4" t="s">
        <v>358</v>
      </c>
      <c r="O153" s="4" t="s">
        <v>58</v>
      </c>
      <c r="P153" s="4"/>
    </row>
    <row r="154" spans="1:16" ht="14" customHeight="1">
      <c r="A154" s="3" t="s">
        <v>856</v>
      </c>
      <c r="B154" s="3" t="s">
        <v>58</v>
      </c>
      <c r="C154" s="3"/>
      <c r="D154" s="3" t="s">
        <v>857</v>
      </c>
      <c r="E154" s="3" t="s">
        <v>858</v>
      </c>
      <c r="F154" s="3" t="s">
        <v>166</v>
      </c>
      <c r="G154" s="10">
        <v>1</v>
      </c>
      <c r="H154" s="10">
        <v>20400</v>
      </c>
      <c r="I154" s="11">
        <v>20400</v>
      </c>
      <c r="J154" s="8">
        <f t="shared" si="4"/>
        <v>20400</v>
      </c>
      <c r="K154" s="8">
        <f t="shared" si="5"/>
        <v>0</v>
      </c>
      <c r="L154" s="3" t="s">
        <v>772</v>
      </c>
      <c r="M154" s="3">
        <v>15</v>
      </c>
      <c r="N154" s="3" t="s">
        <v>358</v>
      </c>
      <c r="O154" s="3" t="s">
        <v>58</v>
      </c>
      <c r="P154" s="3"/>
    </row>
    <row r="155" spans="1:16" ht="14" customHeight="1">
      <c r="A155" s="4" t="s">
        <v>859</v>
      </c>
      <c r="B155" s="4" t="s">
        <v>58</v>
      </c>
      <c r="C155" s="4"/>
      <c r="D155" s="4" t="s">
        <v>860</v>
      </c>
      <c r="E155" s="4" t="s">
        <v>861</v>
      </c>
      <c r="F155" s="4" t="s">
        <v>166</v>
      </c>
      <c r="G155" s="12">
        <v>1</v>
      </c>
      <c r="H155" s="12">
        <v>48900</v>
      </c>
      <c r="I155" s="13">
        <v>48900</v>
      </c>
      <c r="J155" s="9">
        <f t="shared" si="4"/>
        <v>48900</v>
      </c>
      <c r="K155" s="9">
        <f t="shared" si="5"/>
        <v>0</v>
      </c>
      <c r="L155" s="4" t="s">
        <v>772</v>
      </c>
      <c r="M155" s="4">
        <v>15</v>
      </c>
      <c r="N155" s="4" t="s">
        <v>358</v>
      </c>
      <c r="O155" s="4" t="s">
        <v>58</v>
      </c>
      <c r="P155" s="4"/>
    </row>
    <row r="156" spans="1:16" ht="14" customHeight="1">
      <c r="A156" s="3" t="s">
        <v>862</v>
      </c>
      <c r="B156" s="3" t="s">
        <v>58</v>
      </c>
      <c r="C156" s="3"/>
      <c r="D156" s="3" t="s">
        <v>863</v>
      </c>
      <c r="E156" s="3" t="s">
        <v>864</v>
      </c>
      <c r="F156" s="3" t="s">
        <v>166</v>
      </c>
      <c r="G156" s="10">
        <v>1</v>
      </c>
      <c r="H156" s="10">
        <v>163500</v>
      </c>
      <c r="I156" s="11">
        <v>163500</v>
      </c>
      <c r="J156" s="8">
        <f t="shared" si="4"/>
        <v>163500</v>
      </c>
      <c r="K156" s="8">
        <f t="shared" si="5"/>
        <v>0</v>
      </c>
      <c r="L156" s="3" t="s">
        <v>865</v>
      </c>
      <c r="M156" s="3">
        <v>15</v>
      </c>
      <c r="N156" s="3" t="s">
        <v>358</v>
      </c>
      <c r="O156" s="3" t="s">
        <v>58</v>
      </c>
      <c r="P156" s="3"/>
    </row>
    <row r="157" spans="1:16" ht="14" customHeight="1">
      <c r="A157" s="4" t="s">
        <v>866</v>
      </c>
      <c r="B157" s="4" t="s">
        <v>58</v>
      </c>
      <c r="C157" s="4"/>
      <c r="D157" s="4" t="s">
        <v>867</v>
      </c>
      <c r="E157" s="4" t="s">
        <v>868</v>
      </c>
      <c r="F157" s="4" t="s">
        <v>166</v>
      </c>
      <c r="G157" s="12">
        <v>1</v>
      </c>
      <c r="H157" s="12">
        <v>173500</v>
      </c>
      <c r="I157" s="13">
        <v>173500</v>
      </c>
      <c r="J157" s="9">
        <f t="shared" si="4"/>
        <v>173500</v>
      </c>
      <c r="K157" s="9">
        <f t="shared" si="5"/>
        <v>0</v>
      </c>
      <c r="L157" s="4" t="s">
        <v>865</v>
      </c>
      <c r="M157" s="4">
        <v>15</v>
      </c>
      <c r="N157" s="4" t="s">
        <v>358</v>
      </c>
      <c r="O157" s="4" t="s">
        <v>58</v>
      </c>
      <c r="P157" s="4"/>
    </row>
    <row r="158" spans="1:16" ht="14" customHeight="1">
      <c r="A158" s="3" t="s">
        <v>869</v>
      </c>
      <c r="B158" s="3" t="s">
        <v>58</v>
      </c>
      <c r="C158" s="3"/>
      <c r="D158" s="3" t="s">
        <v>870</v>
      </c>
      <c r="E158" s="3" t="s">
        <v>871</v>
      </c>
      <c r="F158" s="3" t="s">
        <v>166</v>
      </c>
      <c r="G158" s="10">
        <v>1</v>
      </c>
      <c r="H158" s="10">
        <v>201000</v>
      </c>
      <c r="I158" s="11">
        <v>201000</v>
      </c>
      <c r="J158" s="8">
        <f t="shared" si="4"/>
        <v>201000</v>
      </c>
      <c r="K158" s="8">
        <f t="shared" si="5"/>
        <v>0</v>
      </c>
      <c r="L158" s="3"/>
      <c r="M158" s="3">
        <v>15</v>
      </c>
      <c r="N158" s="3" t="s">
        <v>358</v>
      </c>
      <c r="O158" s="3" t="s">
        <v>58</v>
      </c>
      <c r="P158" s="3"/>
    </row>
    <row r="159" spans="1:16" ht="14" customHeight="1">
      <c r="A159" s="4" t="s">
        <v>872</v>
      </c>
      <c r="B159" s="4" t="s">
        <v>58</v>
      </c>
      <c r="C159" s="4"/>
      <c r="D159" s="4" t="s">
        <v>873</v>
      </c>
      <c r="E159" s="4" t="s">
        <v>874</v>
      </c>
      <c r="F159" s="4" t="s">
        <v>166</v>
      </c>
      <c r="G159" s="12">
        <v>2</v>
      </c>
      <c r="H159" s="12">
        <v>285000</v>
      </c>
      <c r="I159" s="13">
        <v>570000</v>
      </c>
      <c r="J159" s="9">
        <f t="shared" si="4"/>
        <v>570000</v>
      </c>
      <c r="K159" s="9">
        <f t="shared" si="5"/>
        <v>0</v>
      </c>
      <c r="L159" s="4"/>
      <c r="M159" s="4">
        <v>15</v>
      </c>
      <c r="N159" s="4" t="s">
        <v>358</v>
      </c>
      <c r="O159" s="4" t="s">
        <v>58</v>
      </c>
      <c r="P159" s="4"/>
    </row>
    <row r="160" spans="1:16" ht="14" customHeight="1">
      <c r="A160" s="3" t="s">
        <v>875</v>
      </c>
      <c r="B160" s="3" t="s">
        <v>58</v>
      </c>
      <c r="C160" s="3"/>
      <c r="D160" s="3" t="s">
        <v>876</v>
      </c>
      <c r="E160" s="3" t="s">
        <v>877</v>
      </c>
      <c r="F160" s="3" t="s">
        <v>166</v>
      </c>
      <c r="G160" s="10">
        <v>1</v>
      </c>
      <c r="H160" s="10">
        <v>286500</v>
      </c>
      <c r="I160" s="11">
        <v>286500</v>
      </c>
      <c r="J160" s="8">
        <f t="shared" si="4"/>
        <v>286500</v>
      </c>
      <c r="K160" s="8">
        <f t="shared" si="5"/>
        <v>0</v>
      </c>
      <c r="L160" s="3"/>
      <c r="M160" s="3">
        <v>15</v>
      </c>
      <c r="N160" s="3" t="s">
        <v>358</v>
      </c>
      <c r="O160" s="3" t="s">
        <v>58</v>
      </c>
      <c r="P160" s="3"/>
    </row>
    <row r="161" spans="1:16" ht="14" customHeight="1">
      <c r="A161" s="4" t="s">
        <v>878</v>
      </c>
      <c r="B161" s="4" t="s">
        <v>58</v>
      </c>
      <c r="C161" s="4"/>
      <c r="D161" s="4" t="s">
        <v>879</v>
      </c>
      <c r="E161" s="4" t="s">
        <v>880</v>
      </c>
      <c r="F161" s="4" t="s">
        <v>166</v>
      </c>
      <c r="G161" s="12">
        <v>1</v>
      </c>
      <c r="H161" s="12">
        <v>14710</v>
      </c>
      <c r="I161" s="13">
        <v>14710</v>
      </c>
      <c r="J161" s="9">
        <f t="shared" si="4"/>
        <v>14710</v>
      </c>
      <c r="K161" s="9">
        <f t="shared" si="5"/>
        <v>0</v>
      </c>
      <c r="L161" s="4" t="s">
        <v>881</v>
      </c>
      <c r="M161" s="4">
        <v>15</v>
      </c>
      <c r="N161" s="4" t="s">
        <v>358</v>
      </c>
      <c r="O161" s="4" t="s">
        <v>58</v>
      </c>
      <c r="P161" s="4"/>
    </row>
    <row r="162" spans="1:16" ht="14" customHeight="1">
      <c r="A162" s="3" t="s">
        <v>882</v>
      </c>
      <c r="B162" s="3" t="s">
        <v>58</v>
      </c>
      <c r="C162" s="3"/>
      <c r="D162" s="3" t="s">
        <v>883</v>
      </c>
      <c r="E162" s="3" t="s">
        <v>884</v>
      </c>
      <c r="F162" s="3" t="s">
        <v>166</v>
      </c>
      <c r="G162" s="10">
        <v>23</v>
      </c>
      <c r="H162" s="10">
        <v>9378</v>
      </c>
      <c r="I162" s="11">
        <v>215694</v>
      </c>
      <c r="J162" s="8">
        <f t="shared" si="4"/>
        <v>215694</v>
      </c>
      <c r="K162" s="8">
        <f t="shared" si="5"/>
        <v>0</v>
      </c>
      <c r="L162" s="3" t="s">
        <v>881</v>
      </c>
      <c r="M162" s="3">
        <v>15</v>
      </c>
      <c r="N162" s="3" t="s">
        <v>358</v>
      </c>
      <c r="O162" s="3" t="s">
        <v>58</v>
      </c>
      <c r="P162" s="3"/>
    </row>
    <row r="163" spans="1:16" ht="14" customHeight="1">
      <c r="A163" s="4" t="s">
        <v>885</v>
      </c>
      <c r="B163" s="4" t="s">
        <v>58</v>
      </c>
      <c r="C163" s="4"/>
      <c r="D163" s="4" t="s">
        <v>886</v>
      </c>
      <c r="E163" s="4" t="s">
        <v>887</v>
      </c>
      <c r="F163" s="4" t="s">
        <v>166</v>
      </c>
      <c r="G163" s="12">
        <v>4</v>
      </c>
      <c r="H163" s="12">
        <v>8201</v>
      </c>
      <c r="I163" s="13">
        <v>32804</v>
      </c>
      <c r="J163" s="9">
        <f t="shared" si="4"/>
        <v>32804</v>
      </c>
      <c r="K163" s="9">
        <f t="shared" si="5"/>
        <v>0</v>
      </c>
      <c r="L163" s="4" t="s">
        <v>881</v>
      </c>
      <c r="M163" s="4">
        <v>15</v>
      </c>
      <c r="N163" s="4" t="s">
        <v>358</v>
      </c>
      <c r="O163" s="4" t="s">
        <v>58</v>
      </c>
      <c r="P163" s="4"/>
    </row>
    <row r="164" spans="1:16" ht="14" customHeight="1">
      <c r="A164" s="3" t="s">
        <v>888</v>
      </c>
      <c r="B164" s="3" t="s">
        <v>58</v>
      </c>
      <c r="C164" s="3"/>
      <c r="D164" s="3" t="s">
        <v>889</v>
      </c>
      <c r="E164" s="3" t="s">
        <v>890</v>
      </c>
      <c r="F164" s="3" t="s">
        <v>166</v>
      </c>
      <c r="G164" s="10">
        <v>1</v>
      </c>
      <c r="H164" s="10">
        <v>16732</v>
      </c>
      <c r="I164" s="11">
        <v>16732</v>
      </c>
      <c r="J164" s="8">
        <f t="shared" si="4"/>
        <v>16732</v>
      </c>
      <c r="K164" s="8">
        <f t="shared" si="5"/>
        <v>0</v>
      </c>
      <c r="L164" s="3" t="s">
        <v>891</v>
      </c>
      <c r="M164" s="3">
        <v>15</v>
      </c>
      <c r="N164" s="3" t="s">
        <v>358</v>
      </c>
      <c r="O164" s="3" t="s">
        <v>58</v>
      </c>
      <c r="P164" s="3"/>
    </row>
    <row r="165" spans="1:16" ht="14" customHeight="1">
      <c r="A165" s="4" t="s">
        <v>892</v>
      </c>
      <c r="B165" s="4" t="s">
        <v>58</v>
      </c>
      <c r="C165" s="4"/>
      <c r="D165" s="4" t="s">
        <v>893</v>
      </c>
      <c r="E165" s="4" t="s">
        <v>894</v>
      </c>
      <c r="F165" s="4" t="s">
        <v>166</v>
      </c>
      <c r="G165" s="12">
        <v>2</v>
      </c>
      <c r="H165" s="12">
        <v>14065</v>
      </c>
      <c r="I165" s="13">
        <v>28130</v>
      </c>
      <c r="J165" s="9">
        <f t="shared" si="4"/>
        <v>28130</v>
      </c>
      <c r="K165" s="9">
        <f t="shared" si="5"/>
        <v>0</v>
      </c>
      <c r="L165" s="4" t="s">
        <v>791</v>
      </c>
      <c r="M165" s="4">
        <v>15</v>
      </c>
      <c r="N165" s="4" t="s">
        <v>358</v>
      </c>
      <c r="O165" s="4" t="s">
        <v>58</v>
      </c>
      <c r="P165" s="4"/>
    </row>
    <row r="166" spans="1:16" ht="14" customHeight="1">
      <c r="A166" s="3" t="s">
        <v>895</v>
      </c>
      <c r="B166" s="3" t="s">
        <v>58</v>
      </c>
      <c r="C166" s="3"/>
      <c r="D166" s="3" t="s">
        <v>896</v>
      </c>
      <c r="E166" s="3" t="s">
        <v>897</v>
      </c>
      <c r="F166" s="3" t="s">
        <v>166</v>
      </c>
      <c r="G166" s="10">
        <v>1</v>
      </c>
      <c r="H166" s="10">
        <v>14065</v>
      </c>
      <c r="I166" s="11">
        <v>14065</v>
      </c>
      <c r="J166" s="8">
        <f t="shared" si="4"/>
        <v>14065</v>
      </c>
      <c r="K166" s="8">
        <f t="shared" si="5"/>
        <v>0</v>
      </c>
      <c r="L166" s="3" t="s">
        <v>791</v>
      </c>
      <c r="M166" s="3">
        <v>16</v>
      </c>
      <c r="N166" s="3" t="s">
        <v>358</v>
      </c>
      <c r="O166" s="3" t="s">
        <v>58</v>
      </c>
      <c r="P166" s="3"/>
    </row>
    <row r="167" spans="1:16" ht="14" customHeight="1">
      <c r="A167" s="4" t="s">
        <v>898</v>
      </c>
      <c r="B167" s="4" t="s">
        <v>58</v>
      </c>
      <c r="C167" s="4"/>
      <c r="D167" s="4" t="s">
        <v>899</v>
      </c>
      <c r="E167" s="4" t="s">
        <v>900</v>
      </c>
      <c r="F167" s="4" t="s">
        <v>166</v>
      </c>
      <c r="G167" s="12">
        <v>4</v>
      </c>
      <c r="H167" s="12">
        <v>47286</v>
      </c>
      <c r="I167" s="13">
        <v>189144</v>
      </c>
      <c r="J167" s="9">
        <f t="shared" si="4"/>
        <v>189144</v>
      </c>
      <c r="K167" s="9">
        <f t="shared" si="5"/>
        <v>0</v>
      </c>
      <c r="L167" s="4" t="s">
        <v>901</v>
      </c>
      <c r="M167" s="4">
        <v>16</v>
      </c>
      <c r="N167" s="4" t="s">
        <v>358</v>
      </c>
      <c r="O167" s="4" t="s">
        <v>58</v>
      </c>
      <c r="P167" s="4"/>
    </row>
    <row r="168" spans="1:16" ht="14" customHeight="1">
      <c r="A168" s="3" t="s">
        <v>902</v>
      </c>
      <c r="B168" s="3" t="s">
        <v>58</v>
      </c>
      <c r="C168" s="3"/>
      <c r="D168" s="3" t="s">
        <v>903</v>
      </c>
      <c r="E168" s="3" t="s">
        <v>904</v>
      </c>
      <c r="F168" s="3" t="s">
        <v>166</v>
      </c>
      <c r="G168" s="10">
        <v>4</v>
      </c>
      <c r="H168" s="10">
        <v>47286</v>
      </c>
      <c r="I168" s="11">
        <v>189144</v>
      </c>
      <c r="J168" s="8">
        <f t="shared" si="4"/>
        <v>189144</v>
      </c>
      <c r="K168" s="8">
        <f t="shared" si="5"/>
        <v>0</v>
      </c>
      <c r="L168" s="3" t="s">
        <v>901</v>
      </c>
      <c r="M168" s="3">
        <v>16</v>
      </c>
      <c r="N168" s="3" t="s">
        <v>358</v>
      </c>
      <c r="O168" s="3" t="s">
        <v>58</v>
      </c>
      <c r="P168" s="3"/>
    </row>
    <row r="169" spans="1:16" ht="14" customHeight="1">
      <c r="A169" s="4" t="s">
        <v>905</v>
      </c>
      <c r="B169" s="4" t="s">
        <v>58</v>
      </c>
      <c r="C169" s="4"/>
      <c r="D169" s="4" t="s">
        <v>906</v>
      </c>
      <c r="E169" s="4" t="s">
        <v>907</v>
      </c>
      <c r="F169" s="4" t="s">
        <v>166</v>
      </c>
      <c r="G169" s="12">
        <v>4</v>
      </c>
      <c r="H169" s="12">
        <v>17572</v>
      </c>
      <c r="I169" s="13">
        <v>70288</v>
      </c>
      <c r="J169" s="9">
        <f t="shared" si="4"/>
        <v>70288</v>
      </c>
      <c r="K169" s="9">
        <f t="shared" si="5"/>
        <v>0</v>
      </c>
      <c r="L169" s="4" t="s">
        <v>908</v>
      </c>
      <c r="M169" s="4">
        <v>16</v>
      </c>
      <c r="N169" s="4" t="s">
        <v>358</v>
      </c>
      <c r="O169" s="4" t="s">
        <v>58</v>
      </c>
      <c r="P169" s="4"/>
    </row>
    <row r="170" spans="1:16" ht="14" customHeight="1">
      <c r="A170" s="3" t="s">
        <v>909</v>
      </c>
      <c r="B170" s="3" t="s">
        <v>58</v>
      </c>
      <c r="C170" s="3"/>
      <c r="D170" s="3" t="s">
        <v>910</v>
      </c>
      <c r="E170" s="3" t="s">
        <v>911</v>
      </c>
      <c r="F170" s="3" t="s">
        <v>166</v>
      </c>
      <c r="G170" s="10">
        <v>1</v>
      </c>
      <c r="H170" s="10">
        <v>20856</v>
      </c>
      <c r="I170" s="11">
        <v>20856</v>
      </c>
      <c r="J170" s="8">
        <f t="shared" si="4"/>
        <v>20856</v>
      </c>
      <c r="K170" s="8">
        <f t="shared" si="5"/>
        <v>0</v>
      </c>
      <c r="L170" s="3" t="s">
        <v>912</v>
      </c>
      <c r="M170" s="3">
        <v>16</v>
      </c>
      <c r="N170" s="3" t="s">
        <v>358</v>
      </c>
      <c r="O170" s="3" t="s">
        <v>58</v>
      </c>
      <c r="P170" s="3"/>
    </row>
    <row r="171" spans="1:16" ht="14" customHeight="1">
      <c r="A171" s="4" t="s">
        <v>913</v>
      </c>
      <c r="B171" s="4" t="s">
        <v>58</v>
      </c>
      <c r="C171" s="4"/>
      <c r="D171" s="4" t="s">
        <v>914</v>
      </c>
      <c r="E171" s="4" t="s">
        <v>915</v>
      </c>
      <c r="F171" s="4" t="s">
        <v>166</v>
      </c>
      <c r="G171" s="12">
        <v>2</v>
      </c>
      <c r="H171" s="12">
        <v>4742</v>
      </c>
      <c r="I171" s="13">
        <v>9484</v>
      </c>
      <c r="J171" s="9">
        <f t="shared" si="4"/>
        <v>9484</v>
      </c>
      <c r="K171" s="9">
        <f t="shared" si="5"/>
        <v>0</v>
      </c>
      <c r="L171" s="4" t="s">
        <v>916</v>
      </c>
      <c r="M171" s="4">
        <v>16</v>
      </c>
      <c r="N171" s="4" t="s">
        <v>358</v>
      </c>
      <c r="O171" s="4" t="s">
        <v>58</v>
      </c>
      <c r="P171" s="4"/>
    </row>
    <row r="172" spans="1:16" ht="14" customHeight="1">
      <c r="A172" s="3" t="s">
        <v>917</v>
      </c>
      <c r="B172" s="3" t="s">
        <v>58</v>
      </c>
      <c r="C172" s="3"/>
      <c r="D172" s="3" t="s">
        <v>918</v>
      </c>
      <c r="E172" s="3" t="s">
        <v>919</v>
      </c>
      <c r="F172" s="3" t="s">
        <v>166</v>
      </c>
      <c r="G172" s="10">
        <v>1</v>
      </c>
      <c r="H172" s="10">
        <v>8761</v>
      </c>
      <c r="I172" s="11">
        <v>8761</v>
      </c>
      <c r="J172" s="8">
        <f t="shared" si="4"/>
        <v>8761</v>
      </c>
      <c r="K172" s="8">
        <f t="shared" si="5"/>
        <v>0</v>
      </c>
      <c r="L172" s="3" t="s">
        <v>916</v>
      </c>
      <c r="M172" s="3">
        <v>16</v>
      </c>
      <c r="N172" s="3" t="s">
        <v>358</v>
      </c>
      <c r="O172" s="3" t="s">
        <v>58</v>
      </c>
      <c r="P172" s="3"/>
    </row>
    <row r="173" spans="1:16" ht="14" customHeight="1">
      <c r="A173" s="4" t="s">
        <v>920</v>
      </c>
      <c r="B173" s="4" t="s">
        <v>58</v>
      </c>
      <c r="C173" s="4"/>
      <c r="D173" s="4" t="s">
        <v>921</v>
      </c>
      <c r="E173" s="4" t="s">
        <v>922</v>
      </c>
      <c r="F173" s="4" t="s">
        <v>166</v>
      </c>
      <c r="G173" s="12">
        <v>2</v>
      </c>
      <c r="H173" s="12">
        <v>16598</v>
      </c>
      <c r="I173" s="13">
        <v>33196</v>
      </c>
      <c r="J173" s="9">
        <f t="shared" si="4"/>
        <v>33196</v>
      </c>
      <c r="K173" s="9">
        <f t="shared" si="5"/>
        <v>0</v>
      </c>
      <c r="L173" s="4" t="s">
        <v>923</v>
      </c>
      <c r="M173" s="4">
        <v>16</v>
      </c>
      <c r="N173" s="4" t="s">
        <v>358</v>
      </c>
      <c r="O173" s="4" t="s">
        <v>58</v>
      </c>
      <c r="P173" s="4"/>
    </row>
    <row r="174" spans="1:16" ht="14" customHeight="1">
      <c r="A174" s="3" t="s">
        <v>924</v>
      </c>
      <c r="B174" s="3" t="s">
        <v>58</v>
      </c>
      <c r="C174" s="3"/>
      <c r="D174" s="3" t="s">
        <v>925</v>
      </c>
      <c r="E174" s="3" t="s">
        <v>926</v>
      </c>
      <c r="F174" s="3" t="s">
        <v>166</v>
      </c>
      <c r="G174" s="10">
        <v>1</v>
      </c>
      <c r="H174" s="10">
        <v>66238</v>
      </c>
      <c r="I174" s="11">
        <v>66238</v>
      </c>
      <c r="J174" s="8">
        <f t="shared" si="4"/>
        <v>66238</v>
      </c>
      <c r="K174" s="8">
        <f t="shared" si="5"/>
        <v>0</v>
      </c>
      <c r="L174" s="3" t="s">
        <v>927</v>
      </c>
      <c r="M174" s="3">
        <v>16</v>
      </c>
      <c r="N174" s="3" t="s">
        <v>358</v>
      </c>
      <c r="O174" s="3" t="s">
        <v>58</v>
      </c>
      <c r="P174" s="3"/>
    </row>
    <row r="175" spans="1:16" ht="14" customHeight="1">
      <c r="A175" s="4" t="s">
        <v>928</v>
      </c>
      <c r="B175" s="4" t="s">
        <v>58</v>
      </c>
      <c r="C175" s="4"/>
      <c r="D175" s="4" t="s">
        <v>929</v>
      </c>
      <c r="E175" s="4" t="s">
        <v>930</v>
      </c>
      <c r="F175" s="4" t="s">
        <v>166</v>
      </c>
      <c r="G175" s="12">
        <v>1</v>
      </c>
      <c r="H175" s="12">
        <v>31539</v>
      </c>
      <c r="I175" s="13">
        <v>31539</v>
      </c>
      <c r="J175" s="9">
        <f t="shared" si="4"/>
        <v>31539</v>
      </c>
      <c r="K175" s="9">
        <f t="shared" si="5"/>
        <v>0</v>
      </c>
      <c r="L175" s="4" t="s">
        <v>931</v>
      </c>
      <c r="M175" s="4">
        <v>16</v>
      </c>
      <c r="N175" s="4" t="s">
        <v>358</v>
      </c>
      <c r="O175" s="4" t="s">
        <v>58</v>
      </c>
      <c r="P175" s="4"/>
    </row>
    <row r="176" spans="1:16" ht="14" customHeight="1">
      <c r="A176" s="3" t="s">
        <v>932</v>
      </c>
      <c r="B176" s="3" t="s">
        <v>58</v>
      </c>
      <c r="C176" s="3"/>
      <c r="D176" s="3" t="s">
        <v>933</v>
      </c>
      <c r="E176" s="3" t="s">
        <v>934</v>
      </c>
      <c r="F176" s="3" t="s">
        <v>166</v>
      </c>
      <c r="G176" s="10">
        <v>1</v>
      </c>
      <c r="H176" s="10">
        <v>81902</v>
      </c>
      <c r="I176" s="11">
        <v>81902</v>
      </c>
      <c r="J176" s="8">
        <f t="shared" si="4"/>
        <v>81902</v>
      </c>
      <c r="K176" s="8">
        <f t="shared" si="5"/>
        <v>0</v>
      </c>
      <c r="L176" s="3" t="s">
        <v>935</v>
      </c>
      <c r="M176" s="3">
        <v>16</v>
      </c>
      <c r="N176" s="3" t="s">
        <v>358</v>
      </c>
      <c r="O176" s="3" t="s">
        <v>58</v>
      </c>
      <c r="P176" s="3"/>
    </row>
    <row r="177" spans="1:16" ht="14" customHeight="1">
      <c r="A177" s="4" t="s">
        <v>936</v>
      </c>
      <c r="B177" s="4" t="s">
        <v>58</v>
      </c>
      <c r="C177" s="4"/>
      <c r="D177" s="4" t="s">
        <v>937</v>
      </c>
      <c r="E177" s="4" t="s">
        <v>938</v>
      </c>
      <c r="F177" s="4" t="s">
        <v>166</v>
      </c>
      <c r="G177" s="12">
        <v>1</v>
      </c>
      <c r="H177" s="12">
        <v>124635</v>
      </c>
      <c r="I177" s="13">
        <v>124635</v>
      </c>
      <c r="J177" s="9">
        <f t="shared" si="4"/>
        <v>124635</v>
      </c>
      <c r="K177" s="9">
        <f t="shared" si="5"/>
        <v>0</v>
      </c>
      <c r="L177" s="4" t="s">
        <v>939</v>
      </c>
      <c r="M177" s="4">
        <v>16</v>
      </c>
      <c r="N177" s="4" t="s">
        <v>358</v>
      </c>
      <c r="O177" s="4" t="s">
        <v>58</v>
      </c>
      <c r="P177" s="4"/>
    </row>
    <row r="178" spans="1:16" ht="14" customHeight="1">
      <c r="A178" s="3" t="s">
        <v>940</v>
      </c>
      <c r="B178" s="3" t="s">
        <v>58</v>
      </c>
      <c r="C178" s="3"/>
      <c r="D178" s="3" t="s">
        <v>941</v>
      </c>
      <c r="E178" s="3" t="s">
        <v>942</v>
      </c>
      <c r="F178" s="3" t="s">
        <v>166</v>
      </c>
      <c r="G178" s="10">
        <v>1</v>
      </c>
      <c r="H178" s="10">
        <v>139065</v>
      </c>
      <c r="I178" s="11">
        <v>139065</v>
      </c>
      <c r="J178" s="8">
        <f t="shared" si="4"/>
        <v>139065</v>
      </c>
      <c r="K178" s="8">
        <f t="shared" si="5"/>
        <v>0</v>
      </c>
      <c r="L178" s="3" t="s">
        <v>943</v>
      </c>
      <c r="M178" s="3">
        <v>16</v>
      </c>
      <c r="N178" s="3" t="s">
        <v>358</v>
      </c>
      <c r="O178" s="3" t="s">
        <v>58</v>
      </c>
      <c r="P178" s="3"/>
    </row>
    <row r="179" spans="1:16" ht="14" customHeight="1">
      <c r="A179" s="4" t="s">
        <v>944</v>
      </c>
      <c r="B179" s="4" t="s">
        <v>58</v>
      </c>
      <c r="C179" s="4"/>
      <c r="D179" s="4" t="s">
        <v>945</v>
      </c>
      <c r="E179" s="4" t="s">
        <v>946</v>
      </c>
      <c r="F179" s="4" t="s">
        <v>166</v>
      </c>
      <c r="G179" s="12">
        <v>1</v>
      </c>
      <c r="H179" s="12">
        <v>51316</v>
      </c>
      <c r="I179" s="13">
        <v>51316</v>
      </c>
      <c r="J179" s="9">
        <f t="shared" si="4"/>
        <v>51316</v>
      </c>
      <c r="K179" s="9">
        <f t="shared" si="5"/>
        <v>0</v>
      </c>
      <c r="L179" s="4" t="s">
        <v>947</v>
      </c>
      <c r="M179" s="4">
        <v>16</v>
      </c>
      <c r="N179" s="4" t="s">
        <v>358</v>
      </c>
      <c r="O179" s="4" t="s">
        <v>58</v>
      </c>
      <c r="P179" s="4"/>
    </row>
    <row r="180" spans="1:16" ht="14" customHeight="1">
      <c r="A180" s="3" t="s">
        <v>948</v>
      </c>
      <c r="B180" s="3" t="s">
        <v>58</v>
      </c>
      <c r="C180" s="3"/>
      <c r="D180" s="3" t="s">
        <v>949</v>
      </c>
      <c r="E180" s="3" t="s">
        <v>950</v>
      </c>
      <c r="F180" s="3" t="s">
        <v>166</v>
      </c>
      <c r="G180" s="10">
        <v>1</v>
      </c>
      <c r="H180" s="10">
        <v>756370</v>
      </c>
      <c r="I180" s="11">
        <v>756370</v>
      </c>
      <c r="J180" s="8">
        <f t="shared" si="4"/>
        <v>756370</v>
      </c>
      <c r="K180" s="8">
        <f t="shared" si="5"/>
        <v>0</v>
      </c>
      <c r="L180" s="3"/>
      <c r="M180" s="3">
        <v>16</v>
      </c>
      <c r="N180" s="3" t="s">
        <v>358</v>
      </c>
      <c r="O180" s="3" t="s">
        <v>58</v>
      </c>
      <c r="P180" s="3"/>
    </row>
    <row r="181" spans="1:16" ht="14" customHeight="1">
      <c r="A181" s="4" t="s">
        <v>951</v>
      </c>
      <c r="B181" s="4" t="s">
        <v>58</v>
      </c>
      <c r="C181" s="4"/>
      <c r="D181" s="4" t="s">
        <v>952</v>
      </c>
      <c r="E181" s="4" t="s">
        <v>953</v>
      </c>
      <c r="F181" s="4" t="s">
        <v>162</v>
      </c>
      <c r="G181" s="12">
        <v>46.2</v>
      </c>
      <c r="H181" s="12">
        <v>1800</v>
      </c>
      <c r="I181" s="13">
        <v>83160</v>
      </c>
      <c r="J181" s="9">
        <f t="shared" si="4"/>
        <v>83160</v>
      </c>
      <c r="K181" s="9">
        <f t="shared" si="5"/>
        <v>0</v>
      </c>
      <c r="L181" s="4"/>
      <c r="M181" s="4">
        <v>16</v>
      </c>
      <c r="N181" s="4" t="s">
        <v>358</v>
      </c>
      <c r="O181" s="4" t="s">
        <v>58</v>
      </c>
      <c r="P181" s="4"/>
    </row>
    <row r="182" spans="1:16" ht="14" customHeight="1">
      <c r="A182" s="3" t="s">
        <v>954</v>
      </c>
      <c r="B182" s="3" t="s">
        <v>58</v>
      </c>
      <c r="C182" s="3"/>
      <c r="D182" s="3" t="s">
        <v>955</v>
      </c>
      <c r="E182" s="3" t="s">
        <v>956</v>
      </c>
      <c r="F182" s="3" t="s">
        <v>166</v>
      </c>
      <c r="G182" s="10">
        <v>6</v>
      </c>
      <c r="H182" s="10">
        <v>37300</v>
      </c>
      <c r="I182" s="11">
        <v>223800</v>
      </c>
      <c r="J182" s="8">
        <f t="shared" si="4"/>
        <v>223800</v>
      </c>
      <c r="K182" s="8">
        <f t="shared" si="5"/>
        <v>0</v>
      </c>
      <c r="L182" s="3"/>
      <c r="M182" s="3">
        <v>16</v>
      </c>
      <c r="N182" s="3" t="s">
        <v>358</v>
      </c>
      <c r="O182" s="3" t="s">
        <v>58</v>
      </c>
      <c r="P182" s="3"/>
    </row>
    <row r="183" spans="1:16" ht="14" customHeight="1">
      <c r="A183" s="4" t="s">
        <v>957</v>
      </c>
      <c r="B183" s="4" t="s">
        <v>58</v>
      </c>
      <c r="C183" s="4"/>
      <c r="D183" s="4" t="s">
        <v>958</v>
      </c>
      <c r="E183" s="4" t="s">
        <v>959</v>
      </c>
      <c r="F183" s="4" t="s">
        <v>166</v>
      </c>
      <c r="G183" s="12">
        <v>7</v>
      </c>
      <c r="H183" s="12">
        <v>36479</v>
      </c>
      <c r="I183" s="13">
        <v>255353</v>
      </c>
      <c r="J183" s="9">
        <f t="shared" si="4"/>
        <v>255353</v>
      </c>
      <c r="K183" s="9">
        <f t="shared" si="5"/>
        <v>0</v>
      </c>
      <c r="L183" s="4" t="s">
        <v>960</v>
      </c>
      <c r="M183" s="4">
        <v>16</v>
      </c>
      <c r="N183" s="4" t="s">
        <v>358</v>
      </c>
      <c r="O183" s="4" t="s">
        <v>58</v>
      </c>
      <c r="P183" s="4"/>
    </row>
    <row r="184" spans="1:16" ht="14" customHeight="1">
      <c r="A184" s="3" t="s">
        <v>961</v>
      </c>
      <c r="B184" s="3" t="s">
        <v>58</v>
      </c>
      <c r="C184" s="3"/>
      <c r="D184" s="3" t="s">
        <v>962</v>
      </c>
      <c r="E184" s="3" t="s">
        <v>963</v>
      </c>
      <c r="F184" s="3" t="s">
        <v>964</v>
      </c>
      <c r="G184" s="10">
        <v>46.97</v>
      </c>
      <c r="H184" s="10">
        <v>90</v>
      </c>
      <c r="I184" s="11">
        <v>4227</v>
      </c>
      <c r="J184" s="8">
        <f t="shared" si="4"/>
        <v>4227</v>
      </c>
      <c r="K184" s="8">
        <f t="shared" si="5"/>
        <v>0</v>
      </c>
      <c r="L184" s="3" t="s">
        <v>965</v>
      </c>
      <c r="M184" s="3">
        <v>16</v>
      </c>
      <c r="N184" s="3" t="s">
        <v>358</v>
      </c>
      <c r="O184" s="3" t="s">
        <v>58</v>
      </c>
      <c r="P184" s="3"/>
    </row>
    <row r="185" spans="1:16" ht="14" customHeight="1">
      <c r="A185" s="4" t="s">
        <v>966</v>
      </c>
      <c r="B185" s="4" t="s">
        <v>58</v>
      </c>
      <c r="C185" s="4"/>
      <c r="D185" s="4" t="s">
        <v>967</v>
      </c>
      <c r="E185" s="4" t="s">
        <v>968</v>
      </c>
      <c r="F185" s="4" t="s">
        <v>964</v>
      </c>
      <c r="G185" s="12">
        <v>3636</v>
      </c>
      <c r="H185" s="12">
        <v>190</v>
      </c>
      <c r="I185" s="13">
        <v>690840</v>
      </c>
      <c r="J185" s="9">
        <f t="shared" si="4"/>
        <v>690840</v>
      </c>
      <c r="K185" s="9">
        <f t="shared" si="5"/>
        <v>0</v>
      </c>
      <c r="L185" s="4"/>
      <c r="M185" s="4">
        <v>16</v>
      </c>
      <c r="N185" s="4" t="s">
        <v>358</v>
      </c>
      <c r="O185" s="4" t="s">
        <v>58</v>
      </c>
      <c r="P185" s="4"/>
    </row>
    <row r="186" spans="1:16" ht="14" customHeight="1">
      <c r="A186" s="3" t="s">
        <v>969</v>
      </c>
      <c r="B186" s="3" t="s">
        <v>58</v>
      </c>
      <c r="C186" s="3"/>
      <c r="D186" s="3" t="s">
        <v>970</v>
      </c>
      <c r="E186" s="3" t="s">
        <v>971</v>
      </c>
      <c r="F186" s="3" t="s">
        <v>964</v>
      </c>
      <c r="G186" s="10">
        <v>31.42</v>
      </c>
      <c r="H186" s="10">
        <v>270</v>
      </c>
      <c r="I186" s="11">
        <v>8483</v>
      </c>
      <c r="J186" s="8">
        <f t="shared" si="4"/>
        <v>8483</v>
      </c>
      <c r="K186" s="8">
        <f t="shared" si="5"/>
        <v>0</v>
      </c>
      <c r="L186" s="3"/>
      <c r="M186" s="3">
        <v>17</v>
      </c>
      <c r="N186" s="3" t="s">
        <v>358</v>
      </c>
      <c r="O186" s="3" t="s">
        <v>58</v>
      </c>
      <c r="P186" s="3"/>
    </row>
    <row r="187" spans="1:16" ht="14" customHeight="1">
      <c r="A187" s="4" t="s">
        <v>972</v>
      </c>
      <c r="B187" s="4" t="s">
        <v>58</v>
      </c>
      <c r="C187" s="4"/>
      <c r="D187" s="4" t="s">
        <v>973</v>
      </c>
      <c r="E187" s="4" t="s">
        <v>974</v>
      </c>
      <c r="F187" s="4" t="s">
        <v>964</v>
      </c>
      <c r="G187" s="12">
        <v>977.57</v>
      </c>
      <c r="H187" s="12">
        <v>240</v>
      </c>
      <c r="I187" s="13">
        <v>234617</v>
      </c>
      <c r="J187" s="9">
        <f t="shared" si="4"/>
        <v>234617</v>
      </c>
      <c r="K187" s="9">
        <f t="shared" si="5"/>
        <v>0</v>
      </c>
      <c r="L187" s="4"/>
      <c r="M187" s="4">
        <v>17</v>
      </c>
      <c r="N187" s="4" t="s">
        <v>358</v>
      </c>
      <c r="O187" s="4" t="s">
        <v>58</v>
      </c>
      <c r="P187" s="4"/>
    </row>
    <row r="188" spans="1:16" ht="14" customHeight="1">
      <c r="A188" s="3" t="s">
        <v>975</v>
      </c>
      <c r="B188" s="3" t="s">
        <v>58</v>
      </c>
      <c r="C188" s="3"/>
      <c r="D188" s="3" t="s">
        <v>976</v>
      </c>
      <c r="E188" s="3" t="s">
        <v>977</v>
      </c>
      <c r="F188" s="3" t="s">
        <v>162</v>
      </c>
      <c r="G188" s="10">
        <v>708.85</v>
      </c>
      <c r="H188" s="10">
        <v>143</v>
      </c>
      <c r="I188" s="11">
        <v>101366</v>
      </c>
      <c r="J188" s="8">
        <f t="shared" si="4"/>
        <v>101366</v>
      </c>
      <c r="K188" s="8">
        <f t="shared" si="5"/>
        <v>0</v>
      </c>
      <c r="L188" s="3"/>
      <c r="M188" s="3">
        <v>17</v>
      </c>
      <c r="N188" s="3" t="s">
        <v>358</v>
      </c>
      <c r="O188" s="3" t="s">
        <v>58</v>
      </c>
      <c r="P188" s="3"/>
    </row>
    <row r="189" spans="1:16" ht="14" customHeight="1">
      <c r="A189" s="4" t="s">
        <v>978</v>
      </c>
      <c r="B189" s="4" t="s">
        <v>58</v>
      </c>
      <c r="C189" s="4"/>
      <c r="D189" s="4" t="s">
        <v>979</v>
      </c>
      <c r="E189" s="4" t="s">
        <v>980</v>
      </c>
      <c r="F189" s="4" t="s">
        <v>162</v>
      </c>
      <c r="G189" s="12">
        <v>306.43</v>
      </c>
      <c r="H189" s="12">
        <v>187</v>
      </c>
      <c r="I189" s="13">
        <v>57302</v>
      </c>
      <c r="J189" s="9">
        <f t="shared" si="4"/>
        <v>57302</v>
      </c>
      <c r="K189" s="9">
        <f t="shared" si="5"/>
        <v>0</v>
      </c>
      <c r="L189" s="4"/>
      <c r="M189" s="4">
        <v>17</v>
      </c>
      <c r="N189" s="4" t="s">
        <v>358</v>
      </c>
      <c r="O189" s="4" t="s">
        <v>58</v>
      </c>
      <c r="P189" s="4"/>
    </row>
    <row r="190" spans="1:16" ht="14" customHeight="1">
      <c r="A190" s="3" t="s">
        <v>981</v>
      </c>
      <c r="B190" s="3" t="s">
        <v>58</v>
      </c>
      <c r="C190" s="3"/>
      <c r="D190" s="3" t="s">
        <v>982</v>
      </c>
      <c r="E190" s="3" t="s">
        <v>983</v>
      </c>
      <c r="F190" s="3" t="s">
        <v>162</v>
      </c>
      <c r="G190" s="10">
        <v>504.08</v>
      </c>
      <c r="H190" s="10">
        <v>228</v>
      </c>
      <c r="I190" s="11">
        <v>114930</v>
      </c>
      <c r="J190" s="8">
        <f t="shared" si="4"/>
        <v>114930</v>
      </c>
      <c r="K190" s="8">
        <f t="shared" si="5"/>
        <v>0</v>
      </c>
      <c r="L190" s="3" t="s">
        <v>984</v>
      </c>
      <c r="M190" s="3">
        <v>17</v>
      </c>
      <c r="N190" s="3" t="s">
        <v>358</v>
      </c>
      <c r="O190" s="3" t="s">
        <v>58</v>
      </c>
      <c r="P190" s="3"/>
    </row>
    <row r="191" spans="1:16" ht="14" customHeight="1">
      <c r="A191" s="4" t="s">
        <v>985</v>
      </c>
      <c r="B191" s="4" t="s">
        <v>58</v>
      </c>
      <c r="C191" s="4"/>
      <c r="D191" s="4" t="s">
        <v>986</v>
      </c>
      <c r="E191" s="4" t="s">
        <v>987</v>
      </c>
      <c r="F191" s="4" t="s">
        <v>162</v>
      </c>
      <c r="G191" s="12">
        <v>248.75</v>
      </c>
      <c r="H191" s="12">
        <v>378</v>
      </c>
      <c r="I191" s="13">
        <v>94028</v>
      </c>
      <c r="J191" s="9">
        <f t="shared" si="4"/>
        <v>94028</v>
      </c>
      <c r="K191" s="9">
        <f t="shared" si="5"/>
        <v>0</v>
      </c>
      <c r="L191" s="4" t="s">
        <v>988</v>
      </c>
      <c r="M191" s="4">
        <v>17</v>
      </c>
      <c r="N191" s="4" t="s">
        <v>358</v>
      </c>
      <c r="O191" s="4" t="s">
        <v>58</v>
      </c>
      <c r="P191" s="4"/>
    </row>
    <row r="192" spans="1:16" ht="14" customHeight="1">
      <c r="A192" s="3" t="s">
        <v>989</v>
      </c>
      <c r="B192" s="3" t="s">
        <v>58</v>
      </c>
      <c r="C192" s="3"/>
      <c r="D192" s="3" t="s">
        <v>990</v>
      </c>
      <c r="E192" s="3" t="s">
        <v>991</v>
      </c>
      <c r="F192" s="3" t="s">
        <v>162</v>
      </c>
      <c r="G192" s="10">
        <v>689.89</v>
      </c>
      <c r="H192" s="10">
        <v>70</v>
      </c>
      <c r="I192" s="11">
        <v>48292</v>
      </c>
      <c r="J192" s="8">
        <f t="shared" si="4"/>
        <v>48292</v>
      </c>
      <c r="K192" s="8">
        <f t="shared" si="5"/>
        <v>0</v>
      </c>
      <c r="L192" s="3" t="s">
        <v>992</v>
      </c>
      <c r="M192" s="3">
        <v>17</v>
      </c>
      <c r="N192" s="3" t="s">
        <v>358</v>
      </c>
      <c r="O192" s="3" t="s">
        <v>58</v>
      </c>
      <c r="P192" s="3"/>
    </row>
    <row r="193" spans="1:16" ht="14" customHeight="1">
      <c r="A193" s="4" t="s">
        <v>993</v>
      </c>
      <c r="B193" s="4" t="s">
        <v>58</v>
      </c>
      <c r="C193" s="4"/>
      <c r="D193" s="4" t="s">
        <v>994</v>
      </c>
      <c r="E193" s="4" t="s">
        <v>995</v>
      </c>
      <c r="F193" s="4" t="s">
        <v>162</v>
      </c>
      <c r="G193" s="12">
        <v>116.6</v>
      </c>
      <c r="H193" s="12">
        <v>80</v>
      </c>
      <c r="I193" s="13">
        <v>9328</v>
      </c>
      <c r="J193" s="9">
        <f t="shared" si="4"/>
        <v>9328</v>
      </c>
      <c r="K193" s="9">
        <f t="shared" si="5"/>
        <v>0</v>
      </c>
      <c r="L193" s="4" t="s">
        <v>996</v>
      </c>
      <c r="M193" s="4">
        <v>17</v>
      </c>
      <c r="N193" s="4" t="s">
        <v>358</v>
      </c>
      <c r="O193" s="4" t="s">
        <v>58</v>
      </c>
      <c r="P193" s="4"/>
    </row>
    <row r="194" spans="1:16" ht="14" customHeight="1">
      <c r="A194" s="3" t="s">
        <v>997</v>
      </c>
      <c r="B194" s="3" t="s">
        <v>998</v>
      </c>
      <c r="C194" s="3"/>
      <c r="D194" s="3" t="s">
        <v>999</v>
      </c>
      <c r="E194" s="3" t="s">
        <v>1000</v>
      </c>
      <c r="F194" s="3" t="s">
        <v>162</v>
      </c>
      <c r="G194" s="10">
        <v>143.4</v>
      </c>
      <c r="H194" s="10">
        <v>1600</v>
      </c>
      <c r="I194" s="11">
        <v>229440</v>
      </c>
      <c r="J194" s="8">
        <f t="shared" si="4"/>
        <v>229440</v>
      </c>
      <c r="K194" s="8">
        <f t="shared" si="5"/>
        <v>0</v>
      </c>
      <c r="L194" s="3"/>
      <c r="M194" s="3">
        <v>18</v>
      </c>
      <c r="N194" s="3" t="s">
        <v>358</v>
      </c>
      <c r="O194" s="3" t="s">
        <v>60</v>
      </c>
      <c r="P194" s="3"/>
    </row>
    <row r="195" spans="1:16" ht="14" customHeight="1">
      <c r="A195" s="4" t="s">
        <v>1001</v>
      </c>
      <c r="B195" s="4" t="s">
        <v>998</v>
      </c>
      <c r="C195" s="4"/>
      <c r="D195" s="4" t="s">
        <v>1002</v>
      </c>
      <c r="E195" s="4" t="s">
        <v>1003</v>
      </c>
      <c r="F195" s="4" t="s">
        <v>162</v>
      </c>
      <c r="G195" s="12">
        <v>12.7</v>
      </c>
      <c r="H195" s="12">
        <v>6000</v>
      </c>
      <c r="I195" s="13">
        <v>76200</v>
      </c>
      <c r="J195" s="9">
        <f t="shared" si="4"/>
        <v>76200</v>
      </c>
      <c r="K195" s="9">
        <f t="shared" si="5"/>
        <v>0</v>
      </c>
      <c r="L195" s="4" t="s">
        <v>1004</v>
      </c>
      <c r="M195" s="4">
        <v>18</v>
      </c>
      <c r="N195" s="4" t="s">
        <v>358</v>
      </c>
      <c r="O195" s="4" t="s">
        <v>60</v>
      </c>
      <c r="P195" s="4"/>
    </row>
    <row r="196" spans="1:16" ht="14" customHeight="1">
      <c r="A196" s="3" t="s">
        <v>1005</v>
      </c>
      <c r="B196" s="3" t="s">
        <v>998</v>
      </c>
      <c r="C196" s="3"/>
      <c r="D196" s="3" t="s">
        <v>1006</v>
      </c>
      <c r="E196" s="3" t="s">
        <v>1007</v>
      </c>
      <c r="F196" s="3" t="s">
        <v>162</v>
      </c>
      <c r="G196" s="10">
        <v>16.3</v>
      </c>
      <c r="H196" s="10">
        <v>15749</v>
      </c>
      <c r="I196" s="11">
        <v>256709</v>
      </c>
      <c r="J196" s="8">
        <f t="shared" si="4"/>
        <v>256709</v>
      </c>
      <c r="K196" s="8">
        <f t="shared" si="5"/>
        <v>0</v>
      </c>
      <c r="L196" s="3" t="s">
        <v>1008</v>
      </c>
      <c r="M196" s="3">
        <v>18</v>
      </c>
      <c r="N196" s="3" t="s">
        <v>358</v>
      </c>
      <c r="O196" s="3" t="s">
        <v>60</v>
      </c>
      <c r="P196" s="3"/>
    </row>
    <row r="197" spans="1:16" ht="14" customHeight="1">
      <c r="A197" s="4" t="s">
        <v>1009</v>
      </c>
      <c r="B197" s="4" t="s">
        <v>998</v>
      </c>
      <c r="C197" s="4"/>
      <c r="D197" s="4" t="s">
        <v>1010</v>
      </c>
      <c r="E197" s="4" t="s">
        <v>1011</v>
      </c>
      <c r="F197" s="4" t="s">
        <v>162</v>
      </c>
      <c r="G197" s="12">
        <v>10.1</v>
      </c>
      <c r="H197" s="12">
        <v>7000</v>
      </c>
      <c r="I197" s="13">
        <v>70700</v>
      </c>
      <c r="J197" s="9">
        <f t="shared" si="4"/>
        <v>70700</v>
      </c>
      <c r="K197" s="9">
        <f t="shared" si="5"/>
        <v>0</v>
      </c>
      <c r="L197" s="4" t="s">
        <v>720</v>
      </c>
      <c r="M197" s="4">
        <v>18</v>
      </c>
      <c r="N197" s="4" t="s">
        <v>358</v>
      </c>
      <c r="O197" s="4" t="s">
        <v>60</v>
      </c>
      <c r="P197" s="4"/>
    </row>
    <row r="198" spans="1:16" ht="14" customHeight="1">
      <c r="A198" s="3" t="s">
        <v>1012</v>
      </c>
      <c r="B198" s="3" t="s">
        <v>998</v>
      </c>
      <c r="C198" s="3"/>
      <c r="D198" s="3" t="s">
        <v>1013</v>
      </c>
      <c r="E198" s="3" t="s">
        <v>1014</v>
      </c>
      <c r="F198" s="3" t="s">
        <v>151</v>
      </c>
      <c r="G198" s="10">
        <v>1</v>
      </c>
      <c r="H198" s="10">
        <v>95000</v>
      </c>
      <c r="I198" s="11">
        <v>95000</v>
      </c>
      <c r="J198" s="8">
        <f t="shared" ref="J198:J261" si="6">IF(OR(G198="",H198=""),"",ROUND(G198*H198,0))</f>
        <v>95000</v>
      </c>
      <c r="K198" s="8">
        <f t="shared" ref="K198:K261" si="7">IF(OR(I198="",J198=""),"",I198-J198)</f>
        <v>0</v>
      </c>
      <c r="L198" s="3" t="s">
        <v>720</v>
      </c>
      <c r="M198" s="3">
        <v>18</v>
      </c>
      <c r="N198" s="3" t="s">
        <v>358</v>
      </c>
      <c r="O198" s="3" t="s">
        <v>60</v>
      </c>
      <c r="P198" s="3"/>
    </row>
    <row r="199" spans="1:16" ht="14" customHeight="1">
      <c r="A199" s="4" t="s">
        <v>1015</v>
      </c>
      <c r="B199" s="4" t="s">
        <v>998</v>
      </c>
      <c r="C199" s="4"/>
      <c r="D199" s="4" t="s">
        <v>1016</v>
      </c>
      <c r="E199" s="4" t="s">
        <v>1017</v>
      </c>
      <c r="F199" s="4" t="s">
        <v>434</v>
      </c>
      <c r="G199" s="12">
        <v>1</v>
      </c>
      <c r="H199" s="12">
        <v>10000</v>
      </c>
      <c r="I199" s="13">
        <v>10000</v>
      </c>
      <c r="J199" s="9">
        <f t="shared" si="6"/>
        <v>10000</v>
      </c>
      <c r="K199" s="9">
        <f t="shared" si="7"/>
        <v>0</v>
      </c>
      <c r="L199" s="4"/>
      <c r="M199" s="4">
        <v>18</v>
      </c>
      <c r="N199" s="4" t="s">
        <v>358</v>
      </c>
      <c r="O199" s="4" t="s">
        <v>60</v>
      </c>
      <c r="P199" s="4"/>
    </row>
    <row r="200" spans="1:16" ht="14" customHeight="1">
      <c r="A200" s="3" t="s">
        <v>1018</v>
      </c>
      <c r="B200" s="3" t="s">
        <v>998</v>
      </c>
      <c r="C200" s="3"/>
      <c r="D200" s="3" t="s">
        <v>1019</v>
      </c>
      <c r="E200" s="3" t="s">
        <v>1020</v>
      </c>
      <c r="F200" s="3" t="s">
        <v>151</v>
      </c>
      <c r="G200" s="10">
        <v>1</v>
      </c>
      <c r="H200" s="10">
        <v>2500</v>
      </c>
      <c r="I200" s="11">
        <v>2500</v>
      </c>
      <c r="J200" s="8">
        <f t="shared" si="6"/>
        <v>2500</v>
      </c>
      <c r="K200" s="8">
        <f t="shared" si="7"/>
        <v>0</v>
      </c>
      <c r="L200" s="3"/>
      <c r="M200" s="3">
        <v>18</v>
      </c>
      <c r="N200" s="3" t="s">
        <v>358</v>
      </c>
      <c r="O200" s="3" t="s">
        <v>60</v>
      </c>
      <c r="P200" s="3"/>
    </row>
    <row r="201" spans="1:16" ht="14" customHeight="1">
      <c r="A201" s="4" t="s">
        <v>1021</v>
      </c>
      <c r="B201" s="4" t="s">
        <v>998</v>
      </c>
      <c r="C201" s="4"/>
      <c r="D201" s="4" t="s">
        <v>1022</v>
      </c>
      <c r="E201" s="4" t="s">
        <v>1023</v>
      </c>
      <c r="F201" s="4" t="s">
        <v>151</v>
      </c>
      <c r="G201" s="12">
        <v>1</v>
      </c>
      <c r="H201" s="12">
        <v>52000</v>
      </c>
      <c r="I201" s="13">
        <v>52000</v>
      </c>
      <c r="J201" s="9">
        <f t="shared" si="6"/>
        <v>52000</v>
      </c>
      <c r="K201" s="9">
        <f t="shared" si="7"/>
        <v>0</v>
      </c>
      <c r="L201" s="4"/>
      <c r="M201" s="4">
        <v>18</v>
      </c>
      <c r="N201" s="4" t="s">
        <v>358</v>
      </c>
      <c r="O201" s="4" t="s">
        <v>60</v>
      </c>
      <c r="P201" s="4"/>
    </row>
    <row r="202" spans="1:16" ht="14" customHeight="1">
      <c r="A202" s="3" t="s">
        <v>1024</v>
      </c>
      <c r="B202" s="3" t="s">
        <v>998</v>
      </c>
      <c r="C202" s="3"/>
      <c r="D202" s="3" t="s">
        <v>1025</v>
      </c>
      <c r="E202" s="3" t="s">
        <v>1026</v>
      </c>
      <c r="F202" s="3" t="s">
        <v>107</v>
      </c>
      <c r="G202" s="10">
        <v>71.400000000000006</v>
      </c>
      <c r="H202" s="10">
        <v>3000</v>
      </c>
      <c r="I202" s="11">
        <v>214200</v>
      </c>
      <c r="J202" s="8">
        <f t="shared" si="6"/>
        <v>214200</v>
      </c>
      <c r="K202" s="8">
        <f t="shared" si="7"/>
        <v>0</v>
      </c>
      <c r="L202" s="3"/>
      <c r="M202" s="3">
        <v>18</v>
      </c>
      <c r="N202" s="3" t="s">
        <v>358</v>
      </c>
      <c r="O202" s="3" t="s">
        <v>60</v>
      </c>
      <c r="P202" s="3"/>
    </row>
    <row r="203" spans="1:16" ht="14" customHeight="1">
      <c r="A203" s="4" t="s">
        <v>1027</v>
      </c>
      <c r="B203" s="4" t="s">
        <v>998</v>
      </c>
      <c r="C203" s="4"/>
      <c r="D203" s="4" t="s">
        <v>1028</v>
      </c>
      <c r="E203" s="4" t="s">
        <v>1029</v>
      </c>
      <c r="F203" s="4" t="s">
        <v>740</v>
      </c>
      <c r="G203" s="12">
        <v>9</v>
      </c>
      <c r="H203" s="12">
        <v>1700</v>
      </c>
      <c r="I203" s="13">
        <v>15300</v>
      </c>
      <c r="J203" s="9">
        <f t="shared" si="6"/>
        <v>15300</v>
      </c>
      <c r="K203" s="9">
        <f t="shared" si="7"/>
        <v>0</v>
      </c>
      <c r="L203" s="4"/>
      <c r="M203" s="4">
        <v>18</v>
      </c>
      <c r="N203" s="4" t="s">
        <v>358</v>
      </c>
      <c r="O203" s="4" t="s">
        <v>60</v>
      </c>
      <c r="P203" s="4"/>
    </row>
    <row r="204" spans="1:16" ht="14" customHeight="1">
      <c r="A204" s="3" t="s">
        <v>1030</v>
      </c>
      <c r="B204" s="3" t="s">
        <v>998</v>
      </c>
      <c r="C204" s="3"/>
      <c r="D204" s="3" t="s">
        <v>1031</v>
      </c>
      <c r="E204" s="3" t="s">
        <v>1032</v>
      </c>
      <c r="F204" s="3" t="s">
        <v>421</v>
      </c>
      <c r="G204" s="10">
        <v>1</v>
      </c>
      <c r="H204" s="10">
        <v>5328</v>
      </c>
      <c r="I204" s="11">
        <v>5328</v>
      </c>
      <c r="J204" s="8">
        <f t="shared" si="6"/>
        <v>5328</v>
      </c>
      <c r="K204" s="8">
        <f t="shared" si="7"/>
        <v>0</v>
      </c>
      <c r="L204" s="3"/>
      <c r="M204" s="3">
        <v>18</v>
      </c>
      <c r="N204" s="3" t="s">
        <v>358</v>
      </c>
      <c r="O204" s="3" t="s">
        <v>60</v>
      </c>
      <c r="P204" s="3"/>
    </row>
    <row r="205" spans="1:16" ht="14" customHeight="1">
      <c r="A205" s="4" t="s">
        <v>1033</v>
      </c>
      <c r="B205" s="4" t="s">
        <v>998</v>
      </c>
      <c r="C205" s="4"/>
      <c r="D205" s="4" t="s">
        <v>1034</v>
      </c>
      <c r="E205" s="4" t="s">
        <v>1035</v>
      </c>
      <c r="F205" s="4" t="s">
        <v>421</v>
      </c>
      <c r="G205" s="12">
        <v>1</v>
      </c>
      <c r="H205" s="12">
        <v>6068</v>
      </c>
      <c r="I205" s="13">
        <v>6068</v>
      </c>
      <c r="J205" s="9">
        <f t="shared" si="6"/>
        <v>6068</v>
      </c>
      <c r="K205" s="9">
        <f t="shared" si="7"/>
        <v>0</v>
      </c>
      <c r="L205" s="4"/>
      <c r="M205" s="4">
        <v>18</v>
      </c>
      <c r="N205" s="4" t="s">
        <v>358</v>
      </c>
      <c r="O205" s="4" t="s">
        <v>60</v>
      </c>
      <c r="P205" s="4"/>
    </row>
    <row r="206" spans="1:16" ht="14" customHeight="1">
      <c r="A206" s="3" t="s">
        <v>1036</v>
      </c>
      <c r="B206" s="3" t="s">
        <v>998</v>
      </c>
      <c r="C206" s="3"/>
      <c r="D206" s="3" t="s">
        <v>1037</v>
      </c>
      <c r="E206" s="3" t="s">
        <v>1038</v>
      </c>
      <c r="F206" s="3" t="s">
        <v>421</v>
      </c>
      <c r="G206" s="10">
        <v>4</v>
      </c>
      <c r="H206" s="10">
        <v>768</v>
      </c>
      <c r="I206" s="11">
        <v>3072</v>
      </c>
      <c r="J206" s="8">
        <f t="shared" si="6"/>
        <v>3072</v>
      </c>
      <c r="K206" s="8">
        <f t="shared" si="7"/>
        <v>0</v>
      </c>
      <c r="L206" s="3"/>
      <c r="M206" s="3">
        <v>18</v>
      </c>
      <c r="N206" s="3" t="s">
        <v>358</v>
      </c>
      <c r="O206" s="3" t="s">
        <v>60</v>
      </c>
      <c r="P206" s="3"/>
    </row>
    <row r="207" spans="1:16" ht="14" customHeight="1">
      <c r="A207" s="4" t="s">
        <v>1039</v>
      </c>
      <c r="B207" s="4" t="s">
        <v>998</v>
      </c>
      <c r="C207" s="4"/>
      <c r="D207" s="4" t="s">
        <v>1040</v>
      </c>
      <c r="E207" s="4" t="s">
        <v>1041</v>
      </c>
      <c r="F207" s="4" t="s">
        <v>434</v>
      </c>
      <c r="G207" s="12">
        <v>4</v>
      </c>
      <c r="H207" s="12">
        <v>3500</v>
      </c>
      <c r="I207" s="13">
        <v>14000</v>
      </c>
      <c r="J207" s="9">
        <f t="shared" si="6"/>
        <v>14000</v>
      </c>
      <c r="K207" s="9">
        <f t="shared" si="7"/>
        <v>0</v>
      </c>
      <c r="L207" s="4"/>
      <c r="M207" s="4">
        <v>18</v>
      </c>
      <c r="N207" s="4" t="s">
        <v>358</v>
      </c>
      <c r="O207" s="4" t="s">
        <v>60</v>
      </c>
      <c r="P207" s="4"/>
    </row>
    <row r="208" spans="1:16" ht="14" customHeight="1">
      <c r="A208" s="3" t="s">
        <v>1042</v>
      </c>
      <c r="B208" s="3" t="s">
        <v>998</v>
      </c>
      <c r="C208" s="3"/>
      <c r="D208" s="3" t="s">
        <v>1043</v>
      </c>
      <c r="E208" s="3" t="s">
        <v>1044</v>
      </c>
      <c r="F208" s="3" t="s">
        <v>434</v>
      </c>
      <c r="G208" s="10">
        <v>4</v>
      </c>
      <c r="H208" s="10">
        <v>3850</v>
      </c>
      <c r="I208" s="11">
        <v>15400</v>
      </c>
      <c r="J208" s="8">
        <f t="shared" si="6"/>
        <v>15400</v>
      </c>
      <c r="K208" s="8">
        <f t="shared" si="7"/>
        <v>0</v>
      </c>
      <c r="L208" s="3"/>
      <c r="M208" s="3">
        <v>18</v>
      </c>
      <c r="N208" s="3" t="s">
        <v>358</v>
      </c>
      <c r="O208" s="3" t="s">
        <v>60</v>
      </c>
      <c r="P208" s="3"/>
    </row>
    <row r="209" spans="1:16" ht="14" customHeight="1">
      <c r="A209" s="4" t="s">
        <v>1045</v>
      </c>
      <c r="B209" s="4" t="s">
        <v>998</v>
      </c>
      <c r="C209" s="4"/>
      <c r="D209" s="4" t="s">
        <v>1046</v>
      </c>
      <c r="E209" s="4" t="s">
        <v>1047</v>
      </c>
      <c r="F209" s="4" t="s">
        <v>434</v>
      </c>
      <c r="G209" s="12">
        <v>1</v>
      </c>
      <c r="H209" s="12">
        <v>4550</v>
      </c>
      <c r="I209" s="13">
        <v>4550</v>
      </c>
      <c r="J209" s="9">
        <f t="shared" si="6"/>
        <v>4550</v>
      </c>
      <c r="K209" s="9">
        <f t="shared" si="7"/>
        <v>0</v>
      </c>
      <c r="L209" s="4"/>
      <c r="M209" s="4">
        <v>18</v>
      </c>
      <c r="N209" s="4" t="s">
        <v>358</v>
      </c>
      <c r="O209" s="4" t="s">
        <v>60</v>
      </c>
      <c r="P209" s="4"/>
    </row>
    <row r="210" spans="1:16" ht="14" customHeight="1">
      <c r="A210" s="3" t="s">
        <v>1048</v>
      </c>
      <c r="B210" s="3" t="s">
        <v>998</v>
      </c>
      <c r="C210" s="3"/>
      <c r="D210" s="3" t="s">
        <v>1049</v>
      </c>
      <c r="E210" s="3" t="s">
        <v>1050</v>
      </c>
      <c r="F210" s="3" t="s">
        <v>438</v>
      </c>
      <c r="G210" s="10">
        <v>3</v>
      </c>
      <c r="H210" s="10">
        <v>1200</v>
      </c>
      <c r="I210" s="11">
        <v>3600</v>
      </c>
      <c r="J210" s="8">
        <f t="shared" si="6"/>
        <v>3600</v>
      </c>
      <c r="K210" s="8">
        <f t="shared" si="7"/>
        <v>0</v>
      </c>
      <c r="L210" s="3"/>
      <c r="M210" s="3">
        <v>18</v>
      </c>
      <c r="N210" s="3" t="s">
        <v>358</v>
      </c>
      <c r="O210" s="3" t="s">
        <v>60</v>
      </c>
      <c r="P210" s="3"/>
    </row>
    <row r="211" spans="1:16" ht="14" customHeight="1">
      <c r="A211" s="4" t="s">
        <v>1051</v>
      </c>
      <c r="B211" s="4" t="s">
        <v>998</v>
      </c>
      <c r="C211" s="4"/>
      <c r="D211" s="4" t="s">
        <v>1052</v>
      </c>
      <c r="E211" s="4" t="s">
        <v>1053</v>
      </c>
      <c r="F211" s="4" t="s">
        <v>438</v>
      </c>
      <c r="G211" s="12">
        <v>4</v>
      </c>
      <c r="H211" s="12">
        <v>1800</v>
      </c>
      <c r="I211" s="13">
        <v>7200</v>
      </c>
      <c r="J211" s="9">
        <f t="shared" si="6"/>
        <v>7200</v>
      </c>
      <c r="K211" s="9">
        <f t="shared" si="7"/>
        <v>0</v>
      </c>
      <c r="L211" s="4"/>
      <c r="M211" s="4">
        <v>18</v>
      </c>
      <c r="N211" s="4" t="s">
        <v>358</v>
      </c>
      <c r="O211" s="4" t="s">
        <v>60</v>
      </c>
      <c r="P211" s="4"/>
    </row>
    <row r="212" spans="1:16" ht="14" customHeight="1">
      <c r="A212" s="3" t="s">
        <v>1054</v>
      </c>
      <c r="B212" s="3" t="s">
        <v>998</v>
      </c>
      <c r="C212" s="3"/>
      <c r="D212" s="3" t="s">
        <v>1055</v>
      </c>
      <c r="E212" s="3" t="s">
        <v>1056</v>
      </c>
      <c r="F212" s="3" t="s">
        <v>357</v>
      </c>
      <c r="G212" s="10">
        <v>1</v>
      </c>
      <c r="H212" s="10">
        <v>15000</v>
      </c>
      <c r="I212" s="11">
        <v>15000</v>
      </c>
      <c r="J212" s="8">
        <f t="shared" si="6"/>
        <v>15000</v>
      </c>
      <c r="K212" s="8">
        <f t="shared" si="7"/>
        <v>0</v>
      </c>
      <c r="L212" s="3"/>
      <c r="M212" s="3">
        <v>18</v>
      </c>
      <c r="N212" s="3" t="s">
        <v>358</v>
      </c>
      <c r="O212" s="3" t="s">
        <v>60</v>
      </c>
      <c r="P212" s="3"/>
    </row>
    <row r="213" spans="1:16" ht="14" customHeight="1">
      <c r="A213" s="4" t="s">
        <v>1057</v>
      </c>
      <c r="B213" s="4" t="s">
        <v>1058</v>
      </c>
      <c r="C213" s="4"/>
      <c r="D213" s="4" t="s">
        <v>1059</v>
      </c>
      <c r="E213" s="4" t="s">
        <v>1060</v>
      </c>
      <c r="F213" s="4" t="s">
        <v>357</v>
      </c>
      <c r="G213" s="12">
        <v>1</v>
      </c>
      <c r="H213" s="12">
        <v>1777709</v>
      </c>
      <c r="I213" s="13">
        <v>1777709</v>
      </c>
      <c r="J213" s="9">
        <f t="shared" si="6"/>
        <v>1777709</v>
      </c>
      <c r="K213" s="9">
        <f t="shared" si="7"/>
        <v>0</v>
      </c>
      <c r="L213" s="4" t="s">
        <v>1061</v>
      </c>
      <c r="M213" s="4">
        <v>19</v>
      </c>
      <c r="N213" s="4" t="s">
        <v>358</v>
      </c>
      <c r="O213" s="4" t="s">
        <v>60</v>
      </c>
      <c r="P213" s="4"/>
    </row>
    <row r="214" spans="1:16" ht="14" customHeight="1">
      <c r="A214" s="3" t="s">
        <v>1062</v>
      </c>
      <c r="B214" s="3" t="s">
        <v>1058</v>
      </c>
      <c r="C214" s="3"/>
      <c r="D214" s="3" t="s">
        <v>1063</v>
      </c>
      <c r="E214" s="3" t="s">
        <v>1064</v>
      </c>
      <c r="F214" s="3" t="s">
        <v>151</v>
      </c>
      <c r="G214" s="10">
        <v>2</v>
      </c>
      <c r="H214" s="10">
        <v>60700</v>
      </c>
      <c r="I214" s="11">
        <v>121400</v>
      </c>
      <c r="J214" s="8">
        <f t="shared" si="6"/>
        <v>121400</v>
      </c>
      <c r="K214" s="8">
        <f t="shared" si="7"/>
        <v>0</v>
      </c>
      <c r="L214" s="3"/>
      <c r="M214" s="3">
        <v>19</v>
      </c>
      <c r="N214" s="3" t="s">
        <v>358</v>
      </c>
      <c r="O214" s="3" t="s">
        <v>60</v>
      </c>
      <c r="P214" s="3"/>
    </row>
    <row r="215" spans="1:16" ht="14" customHeight="1">
      <c r="A215" s="4" t="s">
        <v>1065</v>
      </c>
      <c r="B215" s="4" t="s">
        <v>1058</v>
      </c>
      <c r="C215" s="4"/>
      <c r="D215" s="4" t="s">
        <v>1066</v>
      </c>
      <c r="E215" s="4" t="s">
        <v>1067</v>
      </c>
      <c r="F215" s="4" t="s">
        <v>434</v>
      </c>
      <c r="G215" s="12">
        <v>6</v>
      </c>
      <c r="H215" s="12">
        <v>8000</v>
      </c>
      <c r="I215" s="13">
        <v>48000</v>
      </c>
      <c r="J215" s="9">
        <f t="shared" si="6"/>
        <v>48000</v>
      </c>
      <c r="K215" s="9">
        <f t="shared" si="7"/>
        <v>0</v>
      </c>
      <c r="L215" s="4"/>
      <c r="M215" s="4">
        <v>19</v>
      </c>
      <c r="N215" s="4" t="s">
        <v>358</v>
      </c>
      <c r="O215" s="4" t="s">
        <v>60</v>
      </c>
      <c r="P215" s="4"/>
    </row>
    <row r="216" spans="1:16" ht="14" customHeight="1">
      <c r="A216" s="3" t="s">
        <v>1068</v>
      </c>
      <c r="B216" s="3" t="s">
        <v>1058</v>
      </c>
      <c r="C216" s="3"/>
      <c r="D216" s="3" t="s">
        <v>1069</v>
      </c>
      <c r="E216" s="3" t="s">
        <v>1070</v>
      </c>
      <c r="F216" s="3" t="s">
        <v>1071</v>
      </c>
      <c r="G216" s="10">
        <v>2</v>
      </c>
      <c r="H216" s="10">
        <v>13000</v>
      </c>
      <c r="I216" s="11">
        <v>26000</v>
      </c>
      <c r="J216" s="8">
        <f t="shared" si="6"/>
        <v>26000</v>
      </c>
      <c r="K216" s="8">
        <f t="shared" si="7"/>
        <v>0</v>
      </c>
      <c r="L216" s="3"/>
      <c r="M216" s="3">
        <v>19</v>
      </c>
      <c r="N216" s="3" t="s">
        <v>358</v>
      </c>
      <c r="O216" s="3" t="s">
        <v>60</v>
      </c>
      <c r="P216" s="3"/>
    </row>
    <row r="217" spans="1:16" ht="14" customHeight="1">
      <c r="A217" s="4" t="s">
        <v>1072</v>
      </c>
      <c r="B217" s="4" t="s">
        <v>1058</v>
      </c>
      <c r="C217" s="4"/>
      <c r="D217" s="4" t="s">
        <v>1073</v>
      </c>
      <c r="E217" s="4" t="s">
        <v>1074</v>
      </c>
      <c r="F217" s="4" t="s">
        <v>151</v>
      </c>
      <c r="G217" s="12">
        <v>2</v>
      </c>
      <c r="H217" s="12">
        <v>18000</v>
      </c>
      <c r="I217" s="13">
        <v>36000</v>
      </c>
      <c r="J217" s="9">
        <f t="shared" si="6"/>
        <v>36000</v>
      </c>
      <c r="K217" s="9">
        <f t="shared" si="7"/>
        <v>0</v>
      </c>
      <c r="L217" s="4"/>
      <c r="M217" s="4">
        <v>19</v>
      </c>
      <c r="N217" s="4" t="s">
        <v>358</v>
      </c>
      <c r="O217" s="4" t="s">
        <v>60</v>
      </c>
      <c r="P217" s="4"/>
    </row>
    <row r="218" spans="1:16" ht="14" customHeight="1">
      <c r="A218" s="3" t="s">
        <v>1075</v>
      </c>
      <c r="B218" s="3" t="s">
        <v>1058</v>
      </c>
      <c r="C218" s="3"/>
      <c r="D218" s="3" t="s">
        <v>1076</v>
      </c>
      <c r="E218" s="3" t="s">
        <v>1077</v>
      </c>
      <c r="F218" s="3" t="s">
        <v>151</v>
      </c>
      <c r="G218" s="10">
        <v>9</v>
      </c>
      <c r="H218" s="10">
        <v>8000</v>
      </c>
      <c r="I218" s="11">
        <v>72000</v>
      </c>
      <c r="J218" s="8">
        <f t="shared" si="6"/>
        <v>72000</v>
      </c>
      <c r="K218" s="8">
        <f t="shared" si="7"/>
        <v>0</v>
      </c>
      <c r="L218" s="3"/>
      <c r="M218" s="3">
        <v>19</v>
      </c>
      <c r="N218" s="3" t="s">
        <v>358</v>
      </c>
      <c r="O218" s="3" t="s">
        <v>60</v>
      </c>
      <c r="P218" s="3"/>
    </row>
    <row r="219" spans="1:16" ht="14" customHeight="1">
      <c r="A219" s="4" t="s">
        <v>1078</v>
      </c>
      <c r="B219" s="4" t="s">
        <v>1058</v>
      </c>
      <c r="C219" s="4"/>
      <c r="D219" s="4" t="s">
        <v>1079</v>
      </c>
      <c r="E219" s="4" t="s">
        <v>1080</v>
      </c>
      <c r="F219" s="4" t="s">
        <v>162</v>
      </c>
      <c r="G219" s="12">
        <v>150.5</v>
      </c>
      <c r="H219" s="12">
        <v>1680</v>
      </c>
      <c r="I219" s="13">
        <v>252840</v>
      </c>
      <c r="J219" s="9">
        <f t="shared" si="6"/>
        <v>252840</v>
      </c>
      <c r="K219" s="9">
        <f t="shared" si="7"/>
        <v>0</v>
      </c>
      <c r="L219" s="4"/>
      <c r="M219" s="4">
        <v>19</v>
      </c>
      <c r="N219" s="4" t="s">
        <v>358</v>
      </c>
      <c r="O219" s="4" t="s">
        <v>60</v>
      </c>
      <c r="P219" s="4"/>
    </row>
    <row r="220" spans="1:16" ht="14" customHeight="1">
      <c r="A220" s="3" t="s">
        <v>1081</v>
      </c>
      <c r="B220" s="3" t="s">
        <v>1058</v>
      </c>
      <c r="C220" s="3"/>
      <c r="D220" s="3" t="s">
        <v>1082</v>
      </c>
      <c r="E220" s="3" t="s">
        <v>1083</v>
      </c>
      <c r="F220" s="3" t="s">
        <v>357</v>
      </c>
      <c r="G220" s="10">
        <v>1</v>
      </c>
      <c r="H220" s="10">
        <v>279741</v>
      </c>
      <c r="I220" s="11">
        <v>279741</v>
      </c>
      <c r="J220" s="8">
        <f t="shared" si="6"/>
        <v>279741</v>
      </c>
      <c r="K220" s="8">
        <f t="shared" si="7"/>
        <v>0</v>
      </c>
      <c r="L220" s="3"/>
      <c r="M220" s="3">
        <v>19</v>
      </c>
      <c r="N220" s="3" t="s">
        <v>358</v>
      </c>
      <c r="O220" s="3" t="s">
        <v>60</v>
      </c>
      <c r="P220" s="3"/>
    </row>
    <row r="221" spans="1:16" ht="14" customHeight="1">
      <c r="A221" s="4" t="s">
        <v>1084</v>
      </c>
      <c r="B221" s="4" t="s">
        <v>1058</v>
      </c>
      <c r="C221" s="4"/>
      <c r="D221" s="4" t="s">
        <v>1085</v>
      </c>
      <c r="E221" s="4" t="s">
        <v>1086</v>
      </c>
      <c r="F221" s="4" t="s">
        <v>357</v>
      </c>
      <c r="G221" s="12">
        <v>1</v>
      </c>
      <c r="H221" s="12">
        <v>34000</v>
      </c>
      <c r="I221" s="13">
        <v>34000</v>
      </c>
      <c r="J221" s="9">
        <f t="shared" si="6"/>
        <v>34000</v>
      </c>
      <c r="K221" s="9">
        <f t="shared" si="7"/>
        <v>0</v>
      </c>
      <c r="L221" s="4"/>
      <c r="M221" s="4">
        <v>19</v>
      </c>
      <c r="N221" s="4" t="s">
        <v>358</v>
      </c>
      <c r="O221" s="4" t="s">
        <v>60</v>
      </c>
      <c r="P221" s="4"/>
    </row>
    <row r="222" spans="1:16" ht="14" customHeight="1">
      <c r="A222" s="3" t="s">
        <v>1087</v>
      </c>
      <c r="B222" s="3" t="s">
        <v>1058</v>
      </c>
      <c r="C222" s="3"/>
      <c r="D222" s="3" t="s">
        <v>1088</v>
      </c>
      <c r="E222" s="3" t="s">
        <v>1089</v>
      </c>
      <c r="F222" s="3" t="s">
        <v>357</v>
      </c>
      <c r="G222" s="10">
        <v>1</v>
      </c>
      <c r="H222" s="10">
        <v>66764</v>
      </c>
      <c r="I222" s="11">
        <v>66764</v>
      </c>
      <c r="J222" s="8">
        <f t="shared" si="6"/>
        <v>66764</v>
      </c>
      <c r="K222" s="8">
        <f t="shared" si="7"/>
        <v>0</v>
      </c>
      <c r="L222" s="3"/>
      <c r="M222" s="3">
        <v>19</v>
      </c>
      <c r="N222" s="3" t="s">
        <v>358</v>
      </c>
      <c r="O222" s="3" t="s">
        <v>60</v>
      </c>
      <c r="P222" s="3"/>
    </row>
    <row r="223" spans="1:16" ht="14" customHeight="1">
      <c r="A223" s="4" t="s">
        <v>1090</v>
      </c>
      <c r="B223" s="4" t="s">
        <v>1091</v>
      </c>
      <c r="C223" s="4"/>
      <c r="D223" s="4" t="s">
        <v>1092</v>
      </c>
      <c r="E223" s="4" t="s">
        <v>1091</v>
      </c>
      <c r="F223" s="4" t="s">
        <v>357</v>
      </c>
      <c r="G223" s="12">
        <v>1</v>
      </c>
      <c r="H223" s="12">
        <v>1737800</v>
      </c>
      <c r="I223" s="13">
        <v>1737800</v>
      </c>
      <c r="J223" s="9">
        <f t="shared" si="6"/>
        <v>1737800</v>
      </c>
      <c r="K223" s="9">
        <f t="shared" si="7"/>
        <v>0</v>
      </c>
      <c r="L223" s="4"/>
      <c r="M223" s="4">
        <v>20</v>
      </c>
      <c r="N223" s="4" t="s">
        <v>1093</v>
      </c>
      <c r="O223" s="4" t="s">
        <v>62</v>
      </c>
      <c r="P223" s="4"/>
    </row>
    <row r="224" spans="1:16" ht="14" customHeight="1">
      <c r="A224" s="3" t="s">
        <v>1094</v>
      </c>
      <c r="B224" s="3" t="s">
        <v>1091</v>
      </c>
      <c r="C224" s="3"/>
      <c r="D224" s="3" t="s">
        <v>1095</v>
      </c>
      <c r="E224" s="3" t="s">
        <v>1096</v>
      </c>
      <c r="F224" s="3" t="s">
        <v>357</v>
      </c>
      <c r="G224" s="10">
        <v>1</v>
      </c>
      <c r="H224" s="10">
        <v>449047</v>
      </c>
      <c r="I224" s="11">
        <v>449047</v>
      </c>
      <c r="J224" s="8">
        <f t="shared" si="6"/>
        <v>449047</v>
      </c>
      <c r="K224" s="8">
        <f t="shared" si="7"/>
        <v>0</v>
      </c>
      <c r="L224" s="3"/>
      <c r="M224" s="3">
        <v>20</v>
      </c>
      <c r="N224" s="3" t="s">
        <v>1093</v>
      </c>
      <c r="O224" s="3" t="s">
        <v>62</v>
      </c>
      <c r="P224" s="3"/>
    </row>
    <row r="225" spans="1:16" ht="14" customHeight="1">
      <c r="A225" s="4" t="s">
        <v>1097</v>
      </c>
      <c r="B225" s="4" t="s">
        <v>1091</v>
      </c>
      <c r="C225" s="4"/>
      <c r="D225" s="4" t="s">
        <v>1098</v>
      </c>
      <c r="E225" s="4" t="s">
        <v>1099</v>
      </c>
      <c r="F225" s="4" t="s">
        <v>357</v>
      </c>
      <c r="G225" s="12">
        <v>1</v>
      </c>
      <c r="H225" s="12">
        <v>469110</v>
      </c>
      <c r="I225" s="13">
        <v>469110</v>
      </c>
      <c r="J225" s="9">
        <f t="shared" si="6"/>
        <v>469110</v>
      </c>
      <c r="K225" s="9">
        <f t="shared" si="7"/>
        <v>0</v>
      </c>
      <c r="L225" s="4"/>
      <c r="M225" s="4">
        <v>20</v>
      </c>
      <c r="N225" s="4" t="s">
        <v>1093</v>
      </c>
      <c r="O225" s="4" t="s">
        <v>62</v>
      </c>
      <c r="P225" s="4"/>
    </row>
    <row r="226" spans="1:16" ht="14" customHeight="1">
      <c r="A226" s="3" t="s">
        <v>1100</v>
      </c>
      <c r="B226" s="3" t="s">
        <v>1091</v>
      </c>
      <c r="C226" s="3"/>
      <c r="D226" s="3" t="s">
        <v>1101</v>
      </c>
      <c r="E226" s="3" t="s">
        <v>1102</v>
      </c>
      <c r="F226" s="3" t="s">
        <v>357</v>
      </c>
      <c r="G226" s="10">
        <v>1</v>
      </c>
      <c r="H226" s="10">
        <v>360000</v>
      </c>
      <c r="I226" s="11">
        <v>360000</v>
      </c>
      <c r="J226" s="8">
        <f t="shared" si="6"/>
        <v>360000</v>
      </c>
      <c r="K226" s="8">
        <f t="shared" si="7"/>
        <v>0</v>
      </c>
      <c r="L226" s="3"/>
      <c r="M226" s="3">
        <v>20</v>
      </c>
      <c r="N226" s="3" t="s">
        <v>1093</v>
      </c>
      <c r="O226" s="3" t="s">
        <v>62</v>
      </c>
      <c r="P226" s="3"/>
    </row>
    <row r="227" spans="1:16" ht="14" customHeight="1">
      <c r="A227" s="4" t="s">
        <v>1103</v>
      </c>
      <c r="B227" s="4" t="s">
        <v>1091</v>
      </c>
      <c r="C227" s="4"/>
      <c r="D227" s="4" t="s">
        <v>1104</v>
      </c>
      <c r="E227" s="4" t="s">
        <v>1105</v>
      </c>
      <c r="F227" s="4" t="s">
        <v>357</v>
      </c>
      <c r="G227" s="12">
        <v>1</v>
      </c>
      <c r="H227" s="12">
        <v>185000</v>
      </c>
      <c r="I227" s="13">
        <v>185000</v>
      </c>
      <c r="J227" s="9">
        <f t="shared" si="6"/>
        <v>185000</v>
      </c>
      <c r="K227" s="9">
        <f t="shared" si="7"/>
        <v>0</v>
      </c>
      <c r="L227" s="4"/>
      <c r="M227" s="4">
        <v>20</v>
      </c>
      <c r="N227" s="4" t="s">
        <v>1093</v>
      </c>
      <c r="O227" s="4" t="s">
        <v>62</v>
      </c>
      <c r="P227" s="4"/>
    </row>
    <row r="228" spans="1:16" ht="14" customHeight="1">
      <c r="A228" s="3" t="s">
        <v>1106</v>
      </c>
      <c r="B228" s="3" t="s">
        <v>1091</v>
      </c>
      <c r="C228" s="3"/>
      <c r="D228" s="3" t="s">
        <v>1107</v>
      </c>
      <c r="E228" s="3" t="s">
        <v>1108</v>
      </c>
      <c r="F228" s="3" t="s">
        <v>357</v>
      </c>
      <c r="G228" s="10">
        <v>1</v>
      </c>
      <c r="H228" s="10">
        <v>242907</v>
      </c>
      <c r="I228" s="11">
        <v>242907</v>
      </c>
      <c r="J228" s="8">
        <f t="shared" si="6"/>
        <v>242907</v>
      </c>
      <c r="K228" s="8">
        <f t="shared" si="7"/>
        <v>0</v>
      </c>
      <c r="L228" s="3"/>
      <c r="M228" s="3">
        <v>20</v>
      </c>
      <c r="N228" s="3" t="s">
        <v>1093</v>
      </c>
      <c r="O228" s="3" t="s">
        <v>62</v>
      </c>
      <c r="P228" s="3"/>
    </row>
    <row r="229" spans="1:16" ht="14" customHeight="1">
      <c r="A229" s="4" t="s">
        <v>1109</v>
      </c>
      <c r="B229" s="4" t="s">
        <v>1091</v>
      </c>
      <c r="C229" s="4"/>
      <c r="D229" s="4" t="s">
        <v>1110</v>
      </c>
      <c r="E229" s="4" t="s">
        <v>1111</v>
      </c>
      <c r="F229" s="4" t="s">
        <v>357</v>
      </c>
      <c r="G229" s="12">
        <v>1</v>
      </c>
      <c r="H229" s="12">
        <v>162000</v>
      </c>
      <c r="I229" s="13">
        <v>162000</v>
      </c>
      <c r="J229" s="9">
        <f t="shared" si="6"/>
        <v>162000</v>
      </c>
      <c r="K229" s="9">
        <f t="shared" si="7"/>
        <v>0</v>
      </c>
      <c r="L229" s="4"/>
      <c r="M229" s="4">
        <v>20</v>
      </c>
      <c r="N229" s="4" t="s">
        <v>1093</v>
      </c>
      <c r="O229" s="4" t="s">
        <v>62</v>
      </c>
      <c r="P229" s="4"/>
    </row>
    <row r="230" spans="1:16" ht="14" customHeight="1">
      <c r="A230" s="3" t="s">
        <v>1112</v>
      </c>
      <c r="B230" s="3" t="s">
        <v>1113</v>
      </c>
      <c r="C230" s="3"/>
      <c r="D230" s="3" t="s">
        <v>1114</v>
      </c>
      <c r="E230" s="3" t="s">
        <v>1113</v>
      </c>
      <c r="F230" s="3" t="s">
        <v>357</v>
      </c>
      <c r="G230" s="10">
        <v>1</v>
      </c>
      <c r="H230" s="10">
        <v>11319467</v>
      </c>
      <c r="I230" s="11">
        <v>11319467</v>
      </c>
      <c r="J230" s="8">
        <f t="shared" si="6"/>
        <v>11319467</v>
      </c>
      <c r="K230" s="8">
        <f t="shared" si="7"/>
        <v>0</v>
      </c>
      <c r="L230" s="3"/>
      <c r="M230" s="3">
        <v>20</v>
      </c>
      <c r="N230" s="3" t="s">
        <v>1093</v>
      </c>
      <c r="O230" s="3" t="s">
        <v>64</v>
      </c>
      <c r="P230" s="3"/>
    </row>
    <row r="231" spans="1:16" ht="14" customHeight="1">
      <c r="A231" s="4" t="s">
        <v>1115</v>
      </c>
      <c r="B231" s="4" t="s">
        <v>1116</v>
      </c>
      <c r="C231" s="4"/>
      <c r="D231" s="4" t="s">
        <v>1117</v>
      </c>
      <c r="E231" s="4" t="s">
        <v>1118</v>
      </c>
      <c r="F231" s="4" t="s">
        <v>357</v>
      </c>
      <c r="G231" s="12">
        <v>1</v>
      </c>
      <c r="H231" s="12">
        <v>1991595</v>
      </c>
      <c r="I231" s="13">
        <v>1991595</v>
      </c>
      <c r="J231" s="9">
        <f t="shared" si="6"/>
        <v>1991595</v>
      </c>
      <c r="K231" s="9">
        <f t="shared" si="7"/>
        <v>0</v>
      </c>
      <c r="L231" s="4"/>
      <c r="M231" s="4">
        <v>20</v>
      </c>
      <c r="N231" s="4" t="s">
        <v>1093</v>
      </c>
      <c r="O231" s="4" t="s">
        <v>64</v>
      </c>
      <c r="P231" s="4"/>
    </row>
    <row r="232" spans="1:16" ht="14" customHeight="1">
      <c r="A232" s="3" t="s">
        <v>1119</v>
      </c>
      <c r="B232" s="3" t="s">
        <v>1116</v>
      </c>
      <c r="C232" s="3"/>
      <c r="D232" s="3" t="s">
        <v>1120</v>
      </c>
      <c r="E232" s="3" t="s">
        <v>1121</v>
      </c>
      <c r="F232" s="3" t="s">
        <v>357</v>
      </c>
      <c r="G232" s="10">
        <v>1</v>
      </c>
      <c r="H232" s="10">
        <v>6738229</v>
      </c>
      <c r="I232" s="11">
        <v>6738229</v>
      </c>
      <c r="J232" s="8">
        <f t="shared" si="6"/>
        <v>6738229</v>
      </c>
      <c r="K232" s="8">
        <f t="shared" si="7"/>
        <v>0</v>
      </c>
      <c r="L232" s="3"/>
      <c r="M232" s="3">
        <v>20</v>
      </c>
      <c r="N232" s="3" t="s">
        <v>1093</v>
      </c>
      <c r="O232" s="3" t="s">
        <v>66</v>
      </c>
      <c r="P232" s="3"/>
    </row>
    <row r="233" spans="1:16" ht="14" customHeight="1">
      <c r="A233" s="4" t="s">
        <v>1122</v>
      </c>
      <c r="B233" s="4" t="s">
        <v>50</v>
      </c>
      <c r="C233" s="4"/>
      <c r="D233" s="4" t="s">
        <v>1123</v>
      </c>
      <c r="E233" s="4" t="s">
        <v>1124</v>
      </c>
      <c r="F233" s="4" t="s">
        <v>357</v>
      </c>
      <c r="G233" s="12">
        <v>1</v>
      </c>
      <c r="H233" s="12">
        <v>232800</v>
      </c>
      <c r="I233" s="13">
        <v>232800</v>
      </c>
      <c r="J233" s="9">
        <f t="shared" si="6"/>
        <v>232800</v>
      </c>
      <c r="K233" s="9">
        <f t="shared" si="7"/>
        <v>0</v>
      </c>
      <c r="L233" s="4"/>
      <c r="M233" s="4">
        <v>2</v>
      </c>
      <c r="N233" s="4" t="s">
        <v>358</v>
      </c>
      <c r="O233" s="4" t="s">
        <v>50</v>
      </c>
      <c r="P233" s="4"/>
    </row>
    <row r="234" spans="1:16" ht="14" customHeight="1">
      <c r="A234" s="3" t="s">
        <v>1125</v>
      </c>
      <c r="B234" s="3" t="s">
        <v>50</v>
      </c>
      <c r="C234" s="3"/>
      <c r="D234" s="3" t="s">
        <v>1126</v>
      </c>
      <c r="E234" s="3" t="s">
        <v>1127</v>
      </c>
      <c r="F234" s="3" t="s">
        <v>162</v>
      </c>
      <c r="G234" s="10">
        <v>245</v>
      </c>
      <c r="H234" s="10">
        <v>1100</v>
      </c>
      <c r="I234" s="11">
        <v>269501</v>
      </c>
      <c r="J234" s="8">
        <f t="shared" si="6"/>
        <v>269500</v>
      </c>
      <c r="K234" s="8">
        <f t="shared" si="7"/>
        <v>1</v>
      </c>
      <c r="L234" s="3"/>
      <c r="M234" s="3">
        <v>2</v>
      </c>
      <c r="N234" s="3" t="s">
        <v>358</v>
      </c>
      <c r="O234" s="3" t="s">
        <v>50</v>
      </c>
      <c r="P234" s="3"/>
    </row>
    <row r="235" spans="1:16" ht="14" customHeight="1">
      <c r="A235" s="4" t="s">
        <v>1128</v>
      </c>
      <c r="B235" s="4" t="s">
        <v>50</v>
      </c>
      <c r="C235" s="4"/>
      <c r="D235" s="4" t="s">
        <v>1129</v>
      </c>
      <c r="E235" s="4" t="s">
        <v>1130</v>
      </c>
      <c r="F235" s="4" t="s">
        <v>357</v>
      </c>
      <c r="G235" s="12">
        <v>1</v>
      </c>
      <c r="H235" s="12">
        <v>10600</v>
      </c>
      <c r="I235" s="13">
        <v>10600</v>
      </c>
      <c r="J235" s="9">
        <f t="shared" si="6"/>
        <v>10600</v>
      </c>
      <c r="K235" s="9">
        <f t="shared" si="7"/>
        <v>0</v>
      </c>
      <c r="L235" s="4"/>
      <c r="M235" s="4">
        <v>2</v>
      </c>
      <c r="N235" s="4" t="s">
        <v>358</v>
      </c>
      <c r="O235" s="4" t="s">
        <v>50</v>
      </c>
      <c r="P235" s="4"/>
    </row>
    <row r="236" spans="1:16" ht="14" customHeight="1">
      <c r="A236" s="3" t="s">
        <v>1131</v>
      </c>
      <c r="B236" s="3" t="s">
        <v>50</v>
      </c>
      <c r="C236" s="3"/>
      <c r="D236" s="3" t="s">
        <v>1132</v>
      </c>
      <c r="E236" s="3" t="s">
        <v>1133</v>
      </c>
      <c r="F236" s="3" t="s">
        <v>357</v>
      </c>
      <c r="G236" s="10">
        <v>1</v>
      </c>
      <c r="H236" s="10">
        <v>480400</v>
      </c>
      <c r="I236" s="11">
        <v>480400</v>
      </c>
      <c r="J236" s="8">
        <f t="shared" si="6"/>
        <v>480400</v>
      </c>
      <c r="K236" s="8">
        <f t="shared" si="7"/>
        <v>0</v>
      </c>
      <c r="L236" s="3"/>
      <c r="M236" s="3">
        <v>2</v>
      </c>
      <c r="N236" s="3" t="s">
        <v>358</v>
      </c>
      <c r="O236" s="3" t="s">
        <v>50</v>
      </c>
      <c r="P236" s="3"/>
    </row>
    <row r="237" spans="1:16" ht="14" customHeight="1">
      <c r="A237" s="4" t="s">
        <v>1134</v>
      </c>
      <c r="B237" s="4" t="s">
        <v>50</v>
      </c>
      <c r="C237" s="4"/>
      <c r="D237" s="4" t="s">
        <v>1135</v>
      </c>
      <c r="E237" s="4" t="s">
        <v>1136</v>
      </c>
      <c r="F237" s="4" t="s">
        <v>357</v>
      </c>
      <c r="G237" s="12">
        <v>1</v>
      </c>
      <c r="H237" s="12"/>
      <c r="I237" s="13"/>
      <c r="J237" s="9" t="str">
        <f t="shared" si="6"/>
        <v/>
      </c>
      <c r="K237" s="9" t="str">
        <f t="shared" si="7"/>
        <v/>
      </c>
      <c r="L237" s="4" t="s">
        <v>1137</v>
      </c>
      <c r="M237" s="4">
        <v>2</v>
      </c>
      <c r="N237" s="4" t="s">
        <v>358</v>
      </c>
      <c r="O237" s="4" t="s">
        <v>50</v>
      </c>
      <c r="P237" s="4" t="s">
        <v>1138</v>
      </c>
    </row>
    <row r="238" spans="1:16" ht="14" customHeight="1">
      <c r="A238" s="3" t="s">
        <v>1139</v>
      </c>
      <c r="B238" s="3" t="s">
        <v>50</v>
      </c>
      <c r="C238" s="3"/>
      <c r="D238" s="3" t="s">
        <v>1140</v>
      </c>
      <c r="E238" s="3" t="s">
        <v>1141</v>
      </c>
      <c r="F238" s="3" t="s">
        <v>357</v>
      </c>
      <c r="G238" s="10">
        <v>1</v>
      </c>
      <c r="H238" s="10">
        <v>102000</v>
      </c>
      <c r="I238" s="11">
        <v>102000</v>
      </c>
      <c r="J238" s="8">
        <f t="shared" si="6"/>
        <v>102000</v>
      </c>
      <c r="K238" s="8">
        <f t="shared" si="7"/>
        <v>0</v>
      </c>
      <c r="L238" s="3"/>
      <c r="M238" s="3">
        <v>2</v>
      </c>
      <c r="N238" s="3" t="s">
        <v>358</v>
      </c>
      <c r="O238" s="3" t="s">
        <v>50</v>
      </c>
      <c r="P238" s="3"/>
    </row>
    <row r="239" spans="1:16" ht="14" customHeight="1">
      <c r="A239" s="4" t="s">
        <v>1142</v>
      </c>
      <c r="B239" s="4" t="s">
        <v>50</v>
      </c>
      <c r="C239" s="4"/>
      <c r="D239" s="4" t="s">
        <v>1143</v>
      </c>
      <c r="E239" s="4" t="s">
        <v>1144</v>
      </c>
      <c r="F239" s="4" t="s">
        <v>357</v>
      </c>
      <c r="G239" s="12">
        <v>1</v>
      </c>
      <c r="H239" s="12">
        <v>111300</v>
      </c>
      <c r="I239" s="13">
        <v>111300</v>
      </c>
      <c r="J239" s="9">
        <f t="shared" si="6"/>
        <v>111300</v>
      </c>
      <c r="K239" s="9">
        <f t="shared" si="7"/>
        <v>0</v>
      </c>
      <c r="L239" s="4"/>
      <c r="M239" s="4">
        <v>2</v>
      </c>
      <c r="N239" s="4" t="s">
        <v>358</v>
      </c>
      <c r="O239" s="4" t="s">
        <v>50</v>
      </c>
      <c r="P239" s="4"/>
    </row>
    <row r="240" spans="1:16" ht="14" customHeight="1">
      <c r="A240" s="3" t="s">
        <v>1145</v>
      </c>
      <c r="B240" s="3" t="s">
        <v>50</v>
      </c>
      <c r="C240" s="3"/>
      <c r="D240" s="3" t="s">
        <v>1146</v>
      </c>
      <c r="E240" s="3" t="s">
        <v>1147</v>
      </c>
      <c r="F240" s="3" t="s">
        <v>357</v>
      </c>
      <c r="G240" s="10">
        <v>1</v>
      </c>
      <c r="H240" s="10">
        <v>998100</v>
      </c>
      <c r="I240" s="11">
        <v>998100</v>
      </c>
      <c r="J240" s="8">
        <f t="shared" si="6"/>
        <v>998100</v>
      </c>
      <c r="K240" s="8">
        <f t="shared" si="7"/>
        <v>0</v>
      </c>
      <c r="L240" s="3"/>
      <c r="M240" s="3">
        <v>2</v>
      </c>
      <c r="N240" s="3" t="s">
        <v>358</v>
      </c>
      <c r="O240" s="3" t="s">
        <v>50</v>
      </c>
      <c r="P240" s="3"/>
    </row>
    <row r="241" spans="1:16" ht="14" customHeight="1">
      <c r="A241" s="4" t="s">
        <v>1148</v>
      </c>
      <c r="B241" s="4" t="s">
        <v>50</v>
      </c>
      <c r="C241" s="4"/>
      <c r="D241" s="4" t="s">
        <v>1149</v>
      </c>
      <c r="E241" s="4" t="s">
        <v>1150</v>
      </c>
      <c r="F241" s="4" t="s">
        <v>151</v>
      </c>
      <c r="G241" s="12">
        <v>4</v>
      </c>
      <c r="H241" s="12">
        <v>20600</v>
      </c>
      <c r="I241" s="13">
        <v>82400</v>
      </c>
      <c r="J241" s="9">
        <f t="shared" si="6"/>
        <v>82400</v>
      </c>
      <c r="K241" s="9">
        <f t="shared" si="7"/>
        <v>0</v>
      </c>
      <c r="L241" s="4"/>
      <c r="M241" s="4">
        <v>2</v>
      </c>
      <c r="N241" s="4" t="s">
        <v>358</v>
      </c>
      <c r="O241" s="4" t="s">
        <v>50</v>
      </c>
      <c r="P241" s="4"/>
    </row>
    <row r="242" spans="1:16" ht="14" customHeight="1">
      <c r="A242" s="3" t="s">
        <v>1151</v>
      </c>
      <c r="B242" s="3" t="s">
        <v>50</v>
      </c>
      <c r="C242" s="3"/>
      <c r="D242" s="3" t="s">
        <v>1152</v>
      </c>
      <c r="E242" s="3" t="s">
        <v>1153</v>
      </c>
      <c r="F242" s="3" t="s">
        <v>1154</v>
      </c>
      <c r="G242" s="10">
        <v>1244.5</v>
      </c>
      <c r="H242" s="10">
        <v>190</v>
      </c>
      <c r="I242" s="11">
        <v>236454</v>
      </c>
      <c r="J242" s="8">
        <f t="shared" si="6"/>
        <v>236455</v>
      </c>
      <c r="K242" s="8">
        <f t="shared" si="7"/>
        <v>-1</v>
      </c>
      <c r="L242" s="3"/>
      <c r="M242" s="3">
        <v>2</v>
      </c>
      <c r="N242" s="3" t="s">
        <v>358</v>
      </c>
      <c r="O242" s="3" t="s">
        <v>50</v>
      </c>
      <c r="P242" s="3"/>
    </row>
    <row r="243" spans="1:16" ht="14" customHeight="1">
      <c r="A243" s="4" t="s">
        <v>1155</v>
      </c>
      <c r="B243" s="4" t="s">
        <v>50</v>
      </c>
      <c r="C243" s="4"/>
      <c r="D243" s="4" t="s">
        <v>1156</v>
      </c>
      <c r="E243" s="4" t="s">
        <v>1157</v>
      </c>
      <c r="F243" s="4" t="s">
        <v>1154</v>
      </c>
      <c r="G243" s="12">
        <v>1244.5</v>
      </c>
      <c r="H243" s="12">
        <v>190</v>
      </c>
      <c r="I243" s="13">
        <v>236454</v>
      </c>
      <c r="J243" s="9">
        <f t="shared" si="6"/>
        <v>236455</v>
      </c>
      <c r="K243" s="9">
        <f t="shared" si="7"/>
        <v>-1</v>
      </c>
      <c r="L243" s="4"/>
      <c r="M243" s="4">
        <v>2</v>
      </c>
      <c r="N243" s="4" t="s">
        <v>358</v>
      </c>
      <c r="O243" s="4" t="s">
        <v>50</v>
      </c>
      <c r="P243" s="4"/>
    </row>
    <row r="244" spans="1:16" ht="14" customHeight="1">
      <c r="A244" s="3" t="s">
        <v>1158</v>
      </c>
      <c r="B244" s="3" t="s">
        <v>50</v>
      </c>
      <c r="C244" s="3"/>
      <c r="D244" s="3" t="s">
        <v>1159</v>
      </c>
      <c r="E244" s="3" t="s">
        <v>1160</v>
      </c>
      <c r="F244" s="3" t="s">
        <v>357</v>
      </c>
      <c r="G244" s="10">
        <v>1</v>
      </c>
      <c r="H244" s="10">
        <v>116600</v>
      </c>
      <c r="I244" s="11">
        <v>116600</v>
      </c>
      <c r="J244" s="8">
        <f t="shared" si="6"/>
        <v>116600</v>
      </c>
      <c r="K244" s="8">
        <f t="shared" si="7"/>
        <v>0</v>
      </c>
      <c r="L244" s="3"/>
      <c r="M244" s="3">
        <v>2</v>
      </c>
      <c r="N244" s="3" t="s">
        <v>358</v>
      </c>
      <c r="O244" s="3" t="s">
        <v>50</v>
      </c>
      <c r="P244" s="3"/>
    </row>
    <row r="245" spans="1:16" ht="14" customHeight="1">
      <c r="A245" s="4" t="s">
        <v>1161</v>
      </c>
      <c r="B245" s="4" t="s">
        <v>50</v>
      </c>
      <c r="C245" s="4"/>
      <c r="D245" s="4" t="s">
        <v>1162</v>
      </c>
      <c r="E245" s="4" t="s">
        <v>1163</v>
      </c>
      <c r="F245" s="4" t="s">
        <v>357</v>
      </c>
      <c r="G245" s="12">
        <v>1</v>
      </c>
      <c r="H245" s="12">
        <v>154500</v>
      </c>
      <c r="I245" s="13">
        <v>154500</v>
      </c>
      <c r="J245" s="9">
        <f t="shared" si="6"/>
        <v>154500</v>
      </c>
      <c r="K245" s="9">
        <f t="shared" si="7"/>
        <v>0</v>
      </c>
      <c r="L245" s="4"/>
      <c r="M245" s="4">
        <v>2</v>
      </c>
      <c r="N245" s="4" t="s">
        <v>358</v>
      </c>
      <c r="O245" s="4" t="s">
        <v>50</v>
      </c>
      <c r="P245" s="4"/>
    </row>
    <row r="246" spans="1:16" ht="14" customHeight="1">
      <c r="A246" s="3" t="s">
        <v>1164</v>
      </c>
      <c r="B246" s="3" t="s">
        <v>50</v>
      </c>
      <c r="C246" s="3"/>
      <c r="D246" s="3" t="s">
        <v>1165</v>
      </c>
      <c r="E246" s="3" t="s">
        <v>1166</v>
      </c>
      <c r="F246" s="3" t="s">
        <v>357</v>
      </c>
      <c r="G246" s="10">
        <v>1</v>
      </c>
      <c r="H246" s="10">
        <v>61800</v>
      </c>
      <c r="I246" s="11">
        <v>61800</v>
      </c>
      <c r="J246" s="8">
        <f t="shared" si="6"/>
        <v>61800</v>
      </c>
      <c r="K246" s="8">
        <f t="shared" si="7"/>
        <v>0</v>
      </c>
      <c r="L246" s="3"/>
      <c r="M246" s="3">
        <v>2</v>
      </c>
      <c r="N246" s="3" t="s">
        <v>358</v>
      </c>
      <c r="O246" s="3" t="s">
        <v>50</v>
      </c>
      <c r="P246" s="3"/>
    </row>
    <row r="247" spans="1:16" ht="14" customHeight="1">
      <c r="A247" s="4" t="s">
        <v>1167</v>
      </c>
      <c r="B247" s="4" t="s">
        <v>50</v>
      </c>
      <c r="C247" s="4"/>
      <c r="D247" s="4" t="s">
        <v>1168</v>
      </c>
      <c r="E247" s="4" t="s">
        <v>1169</v>
      </c>
      <c r="F247" s="4" t="s">
        <v>162</v>
      </c>
      <c r="G247" s="12">
        <v>17</v>
      </c>
      <c r="H247" s="12">
        <v>1100</v>
      </c>
      <c r="I247" s="13">
        <v>18700</v>
      </c>
      <c r="J247" s="9">
        <f t="shared" si="6"/>
        <v>18700</v>
      </c>
      <c r="K247" s="9">
        <f t="shared" si="7"/>
        <v>0</v>
      </c>
      <c r="L247" s="4"/>
      <c r="M247" s="4">
        <v>2</v>
      </c>
      <c r="N247" s="4" t="s">
        <v>358</v>
      </c>
      <c r="O247" s="4" t="s">
        <v>50</v>
      </c>
      <c r="P247" s="4"/>
    </row>
    <row r="248" spans="1:16" ht="14" customHeight="1">
      <c r="A248" s="3" t="s">
        <v>1170</v>
      </c>
      <c r="B248" s="3" t="s">
        <v>50</v>
      </c>
      <c r="C248" s="3"/>
      <c r="D248" s="3" t="s">
        <v>1171</v>
      </c>
      <c r="E248" s="3" t="s">
        <v>1172</v>
      </c>
      <c r="F248" s="3" t="s">
        <v>357</v>
      </c>
      <c r="G248" s="10">
        <v>1</v>
      </c>
      <c r="H248" s="10">
        <v>368700</v>
      </c>
      <c r="I248" s="11">
        <v>368700</v>
      </c>
      <c r="J248" s="8">
        <f t="shared" si="6"/>
        <v>368700</v>
      </c>
      <c r="K248" s="8">
        <f t="shared" si="7"/>
        <v>0</v>
      </c>
      <c r="L248" s="3" t="s">
        <v>1173</v>
      </c>
      <c r="M248" s="3">
        <v>2</v>
      </c>
      <c r="N248" s="3" t="s">
        <v>358</v>
      </c>
      <c r="O248" s="3" t="s">
        <v>50</v>
      </c>
      <c r="P248" s="3"/>
    </row>
    <row r="249" spans="1:16" ht="14" customHeight="1">
      <c r="A249" s="4" t="s">
        <v>1174</v>
      </c>
      <c r="B249" s="4" t="s">
        <v>50</v>
      </c>
      <c r="C249" s="4"/>
      <c r="D249" s="4" t="s">
        <v>1175</v>
      </c>
      <c r="E249" s="4" t="s">
        <v>1176</v>
      </c>
      <c r="F249" s="4" t="s">
        <v>357</v>
      </c>
      <c r="G249" s="12">
        <v>1</v>
      </c>
      <c r="H249" s="12">
        <v>61800</v>
      </c>
      <c r="I249" s="13">
        <v>61800</v>
      </c>
      <c r="J249" s="9">
        <f t="shared" si="6"/>
        <v>61800</v>
      </c>
      <c r="K249" s="9">
        <f t="shared" si="7"/>
        <v>0</v>
      </c>
      <c r="L249" s="4"/>
      <c r="M249" s="4">
        <v>2</v>
      </c>
      <c r="N249" s="4" t="s">
        <v>358</v>
      </c>
      <c r="O249" s="4" t="s">
        <v>50</v>
      </c>
      <c r="P249" s="4"/>
    </row>
    <row r="250" spans="1:16" ht="14" customHeight="1">
      <c r="A250" s="3" t="s">
        <v>1177</v>
      </c>
      <c r="B250" s="3" t="s">
        <v>50</v>
      </c>
      <c r="C250" s="3"/>
      <c r="D250" s="3" t="s">
        <v>1178</v>
      </c>
      <c r="E250" s="3" t="s">
        <v>1179</v>
      </c>
      <c r="F250" s="3" t="s">
        <v>357</v>
      </c>
      <c r="G250" s="10">
        <v>1</v>
      </c>
      <c r="H250" s="10">
        <v>257500</v>
      </c>
      <c r="I250" s="11">
        <v>257500</v>
      </c>
      <c r="J250" s="8">
        <f t="shared" si="6"/>
        <v>257500</v>
      </c>
      <c r="K250" s="8">
        <f t="shared" si="7"/>
        <v>0</v>
      </c>
      <c r="L250" s="3" t="s">
        <v>1180</v>
      </c>
      <c r="M250" s="3">
        <v>2</v>
      </c>
      <c r="N250" s="3" t="s">
        <v>358</v>
      </c>
      <c r="O250" s="3" t="s">
        <v>50</v>
      </c>
      <c r="P250" s="3"/>
    </row>
    <row r="251" spans="1:16" ht="14" customHeight="1">
      <c r="A251" s="4" t="s">
        <v>1181</v>
      </c>
      <c r="B251" s="4" t="s">
        <v>1182</v>
      </c>
      <c r="C251" s="4"/>
      <c r="D251" s="4" t="s">
        <v>1123</v>
      </c>
      <c r="E251" s="4" t="s">
        <v>1183</v>
      </c>
      <c r="F251" s="4" t="s">
        <v>107</v>
      </c>
      <c r="G251" s="12">
        <v>4114.04</v>
      </c>
      <c r="H251" s="12">
        <v>90</v>
      </c>
      <c r="I251" s="13">
        <v>370264</v>
      </c>
      <c r="J251" s="9">
        <f t="shared" si="6"/>
        <v>370264</v>
      </c>
      <c r="K251" s="9">
        <f t="shared" si="7"/>
        <v>0</v>
      </c>
      <c r="L251" s="4"/>
      <c r="M251" s="4">
        <v>2</v>
      </c>
      <c r="N251" s="4" t="s">
        <v>358</v>
      </c>
      <c r="O251" s="4" t="s">
        <v>52</v>
      </c>
      <c r="P251" s="4"/>
    </row>
    <row r="252" spans="1:16" ht="14" customHeight="1">
      <c r="A252" s="3" t="s">
        <v>1184</v>
      </c>
      <c r="B252" s="3" t="s">
        <v>1182</v>
      </c>
      <c r="C252" s="3"/>
      <c r="D252" s="3" t="s">
        <v>1126</v>
      </c>
      <c r="E252" s="3" t="s">
        <v>1185</v>
      </c>
      <c r="F252" s="3" t="s">
        <v>87</v>
      </c>
      <c r="G252" s="10">
        <v>1969</v>
      </c>
      <c r="H252" s="10">
        <v>270</v>
      </c>
      <c r="I252" s="11">
        <v>531630</v>
      </c>
      <c r="J252" s="8">
        <f t="shared" si="6"/>
        <v>531630</v>
      </c>
      <c r="K252" s="8">
        <f t="shared" si="7"/>
        <v>0</v>
      </c>
      <c r="L252" s="3"/>
      <c r="M252" s="3">
        <v>2</v>
      </c>
      <c r="N252" s="3" t="s">
        <v>358</v>
      </c>
      <c r="O252" s="3" t="s">
        <v>52</v>
      </c>
      <c r="P252" s="3"/>
    </row>
    <row r="253" spans="1:16" ht="14" customHeight="1">
      <c r="A253" s="4" t="s">
        <v>1186</v>
      </c>
      <c r="B253" s="4" t="s">
        <v>1182</v>
      </c>
      <c r="C253" s="4"/>
      <c r="D253" s="4" t="s">
        <v>1129</v>
      </c>
      <c r="E253" s="4" t="s">
        <v>1187</v>
      </c>
      <c r="F253" s="4" t="s">
        <v>87</v>
      </c>
      <c r="G253" s="12">
        <v>1819</v>
      </c>
      <c r="H253" s="12">
        <v>340</v>
      </c>
      <c r="I253" s="13">
        <v>618460</v>
      </c>
      <c r="J253" s="9">
        <f t="shared" si="6"/>
        <v>618460</v>
      </c>
      <c r="K253" s="9">
        <f t="shared" si="7"/>
        <v>0</v>
      </c>
      <c r="L253" s="4"/>
      <c r="M253" s="4">
        <v>2</v>
      </c>
      <c r="N253" s="4" t="s">
        <v>358</v>
      </c>
      <c r="O253" s="4" t="s">
        <v>52</v>
      </c>
      <c r="P253" s="4"/>
    </row>
    <row r="254" spans="1:16" ht="14" customHeight="1">
      <c r="A254" s="3" t="s">
        <v>1188</v>
      </c>
      <c r="B254" s="3" t="s">
        <v>1182</v>
      </c>
      <c r="C254" s="3"/>
      <c r="D254" s="3" t="s">
        <v>1132</v>
      </c>
      <c r="E254" s="3" t="s">
        <v>1189</v>
      </c>
      <c r="F254" s="3" t="s">
        <v>87</v>
      </c>
      <c r="G254" s="10">
        <v>150</v>
      </c>
      <c r="H254" s="10">
        <v>2100</v>
      </c>
      <c r="I254" s="11">
        <v>315000</v>
      </c>
      <c r="J254" s="8">
        <f t="shared" si="6"/>
        <v>315000</v>
      </c>
      <c r="K254" s="8">
        <f t="shared" si="7"/>
        <v>0</v>
      </c>
      <c r="L254" s="3"/>
      <c r="M254" s="3">
        <v>2</v>
      </c>
      <c r="N254" s="3" t="s">
        <v>358</v>
      </c>
      <c r="O254" s="3" t="s">
        <v>52</v>
      </c>
      <c r="P254" s="3"/>
    </row>
    <row r="255" spans="1:16" ht="14" customHeight="1">
      <c r="A255" s="4" t="s">
        <v>1190</v>
      </c>
      <c r="B255" s="4" t="s">
        <v>1182</v>
      </c>
      <c r="C255" s="4"/>
      <c r="D255" s="4" t="s">
        <v>1135</v>
      </c>
      <c r="E255" s="4" t="s">
        <v>1191</v>
      </c>
      <c r="F255" s="4" t="s">
        <v>107</v>
      </c>
      <c r="G255" s="12">
        <v>12412</v>
      </c>
      <c r="H255" s="12">
        <v>1170</v>
      </c>
      <c r="I255" s="13">
        <v>14522040</v>
      </c>
      <c r="J255" s="9">
        <f t="shared" si="6"/>
        <v>14522040</v>
      </c>
      <c r="K255" s="9">
        <f t="shared" si="7"/>
        <v>0</v>
      </c>
      <c r="L255" s="4"/>
      <c r="M255" s="4">
        <v>2</v>
      </c>
      <c r="N255" s="4" t="s">
        <v>358</v>
      </c>
      <c r="O255" s="4" t="s">
        <v>52</v>
      </c>
      <c r="P255" s="4"/>
    </row>
    <row r="256" spans="1:16" ht="14" customHeight="1">
      <c r="A256" s="3" t="s">
        <v>1192</v>
      </c>
      <c r="B256" s="3" t="s">
        <v>1182</v>
      </c>
      <c r="C256" s="3"/>
      <c r="D256" s="3" t="s">
        <v>1140</v>
      </c>
      <c r="E256" s="3" t="s">
        <v>1193</v>
      </c>
      <c r="F256" s="3" t="s">
        <v>100</v>
      </c>
      <c r="G256" s="10">
        <v>88.76</v>
      </c>
      <c r="H256" s="10">
        <v>28300</v>
      </c>
      <c r="I256" s="11">
        <v>2511908</v>
      </c>
      <c r="J256" s="8">
        <f t="shared" si="6"/>
        <v>2511908</v>
      </c>
      <c r="K256" s="8">
        <f t="shared" si="7"/>
        <v>0</v>
      </c>
      <c r="L256" s="3"/>
      <c r="M256" s="3">
        <v>2</v>
      </c>
      <c r="N256" s="3" t="s">
        <v>358</v>
      </c>
      <c r="O256" s="3" t="s">
        <v>52</v>
      </c>
      <c r="P256" s="3"/>
    </row>
    <row r="257" spans="1:16" ht="14" customHeight="1">
      <c r="A257" s="4" t="s">
        <v>1194</v>
      </c>
      <c r="B257" s="4" t="s">
        <v>1182</v>
      </c>
      <c r="C257" s="4"/>
      <c r="D257" s="4" t="s">
        <v>1143</v>
      </c>
      <c r="E257" s="4" t="s">
        <v>1195</v>
      </c>
      <c r="F257" s="4" t="s">
        <v>100</v>
      </c>
      <c r="G257" s="12">
        <v>209.07</v>
      </c>
      <c r="H257" s="12">
        <v>29200</v>
      </c>
      <c r="I257" s="13">
        <v>6104844</v>
      </c>
      <c r="J257" s="9">
        <f t="shared" si="6"/>
        <v>6104844</v>
      </c>
      <c r="K257" s="9">
        <f t="shared" si="7"/>
        <v>0</v>
      </c>
      <c r="L257" s="4"/>
      <c r="M257" s="4">
        <v>2</v>
      </c>
      <c r="N257" s="4" t="s">
        <v>358</v>
      </c>
      <c r="O257" s="4" t="s">
        <v>52</v>
      </c>
      <c r="P257" s="4"/>
    </row>
    <row r="258" spans="1:16" ht="14" customHeight="1">
      <c r="A258" s="3" t="s">
        <v>1196</v>
      </c>
      <c r="B258" s="3" t="s">
        <v>1182</v>
      </c>
      <c r="C258" s="3"/>
      <c r="D258" s="3" t="s">
        <v>1146</v>
      </c>
      <c r="E258" s="3" t="s">
        <v>1197</v>
      </c>
      <c r="F258" s="3" t="s">
        <v>87</v>
      </c>
      <c r="G258" s="10">
        <v>93</v>
      </c>
      <c r="H258" s="10">
        <v>2870</v>
      </c>
      <c r="I258" s="11">
        <v>266910</v>
      </c>
      <c r="J258" s="8">
        <f t="shared" si="6"/>
        <v>266910</v>
      </c>
      <c r="K258" s="8">
        <f t="shared" si="7"/>
        <v>0</v>
      </c>
      <c r="L258" s="3" t="s">
        <v>1198</v>
      </c>
      <c r="M258" s="3">
        <v>2</v>
      </c>
      <c r="N258" s="3" t="s">
        <v>358</v>
      </c>
      <c r="O258" s="3" t="s">
        <v>52</v>
      </c>
      <c r="P258" s="3"/>
    </row>
    <row r="259" spans="1:16" ht="14" customHeight="1">
      <c r="A259" s="4" t="s">
        <v>1199</v>
      </c>
      <c r="B259" s="4" t="s">
        <v>1182</v>
      </c>
      <c r="C259" s="4"/>
      <c r="D259" s="4" t="s">
        <v>1149</v>
      </c>
      <c r="E259" s="4" t="s">
        <v>1200</v>
      </c>
      <c r="F259" s="4" t="s">
        <v>87</v>
      </c>
      <c r="G259" s="12">
        <v>2568</v>
      </c>
      <c r="H259" s="12">
        <v>3210</v>
      </c>
      <c r="I259" s="13">
        <v>8243290</v>
      </c>
      <c r="J259" s="9">
        <f t="shared" si="6"/>
        <v>8243280</v>
      </c>
      <c r="K259" s="9">
        <f t="shared" si="7"/>
        <v>10</v>
      </c>
      <c r="L259" s="4" t="s">
        <v>1198</v>
      </c>
      <c r="M259" s="4">
        <v>3</v>
      </c>
      <c r="N259" s="4" t="s">
        <v>358</v>
      </c>
      <c r="O259" s="4" t="s">
        <v>52</v>
      </c>
      <c r="P259" s="4" t="s">
        <v>1201</v>
      </c>
    </row>
    <row r="260" spans="1:16" ht="14" customHeight="1">
      <c r="A260" s="3" t="s">
        <v>1202</v>
      </c>
      <c r="B260" s="3" t="s">
        <v>1182</v>
      </c>
      <c r="C260" s="3"/>
      <c r="D260" s="3" t="s">
        <v>1152</v>
      </c>
      <c r="E260" s="3" t="s">
        <v>1203</v>
      </c>
      <c r="F260" s="3" t="s">
        <v>107</v>
      </c>
      <c r="G260" s="10">
        <v>3453</v>
      </c>
      <c r="H260" s="10">
        <v>500</v>
      </c>
      <c r="I260" s="11">
        <v>1726500</v>
      </c>
      <c r="J260" s="8">
        <f t="shared" si="6"/>
        <v>1726500</v>
      </c>
      <c r="K260" s="8">
        <f t="shared" si="7"/>
        <v>0</v>
      </c>
      <c r="L260" s="3"/>
      <c r="M260" s="3">
        <v>3</v>
      </c>
      <c r="N260" s="3" t="s">
        <v>358</v>
      </c>
      <c r="O260" s="3" t="s">
        <v>52</v>
      </c>
      <c r="P260" s="3"/>
    </row>
    <row r="261" spans="1:16" ht="14" customHeight="1">
      <c r="A261" s="4" t="s">
        <v>1204</v>
      </c>
      <c r="B261" s="4" t="s">
        <v>1182</v>
      </c>
      <c r="C261" s="4"/>
      <c r="D261" s="4" t="s">
        <v>1156</v>
      </c>
      <c r="E261" s="4" t="s">
        <v>1205</v>
      </c>
      <c r="F261" s="4" t="s">
        <v>151</v>
      </c>
      <c r="G261" s="12">
        <v>2</v>
      </c>
      <c r="H261" s="12">
        <v>20600</v>
      </c>
      <c r="I261" s="13">
        <v>41200</v>
      </c>
      <c r="J261" s="9">
        <f t="shared" si="6"/>
        <v>41200</v>
      </c>
      <c r="K261" s="9">
        <f t="shared" si="7"/>
        <v>0</v>
      </c>
      <c r="L261" s="4"/>
      <c r="M261" s="4">
        <v>3</v>
      </c>
      <c r="N261" s="4" t="s">
        <v>358</v>
      </c>
      <c r="O261" s="4" t="s">
        <v>52</v>
      </c>
      <c r="P261" s="4"/>
    </row>
    <row r="262" spans="1:16" ht="14" customHeight="1">
      <c r="A262" s="3" t="s">
        <v>1206</v>
      </c>
      <c r="B262" s="3" t="s">
        <v>1182</v>
      </c>
      <c r="C262" s="3"/>
      <c r="D262" s="3" t="s">
        <v>1159</v>
      </c>
      <c r="E262" s="3" t="s">
        <v>1207</v>
      </c>
      <c r="F262" s="3" t="s">
        <v>107</v>
      </c>
      <c r="G262" s="10">
        <v>5772</v>
      </c>
      <c r="H262" s="10">
        <v>370</v>
      </c>
      <c r="I262" s="11">
        <v>2135640</v>
      </c>
      <c r="J262" s="8">
        <f t="shared" ref="J262:J325" si="8">IF(OR(G262="",H262=""),"",ROUND(G262*H262,0))</f>
        <v>2135640</v>
      </c>
      <c r="K262" s="8">
        <f t="shared" ref="K262:K325" si="9">IF(OR(I262="",J262=""),"",I262-J262)</f>
        <v>0</v>
      </c>
      <c r="L262" s="3"/>
      <c r="M262" s="3">
        <v>3</v>
      </c>
      <c r="N262" s="3" t="s">
        <v>358</v>
      </c>
      <c r="O262" s="3" t="s">
        <v>52</v>
      </c>
      <c r="P262" s="3"/>
    </row>
    <row r="263" spans="1:16" ht="14" customHeight="1">
      <c r="A263" s="4" t="s">
        <v>1208</v>
      </c>
      <c r="B263" s="4" t="s">
        <v>54</v>
      </c>
      <c r="C263" s="4" t="s">
        <v>1209</v>
      </c>
      <c r="D263" s="4" t="s">
        <v>1123</v>
      </c>
      <c r="E263" s="4" t="s">
        <v>1210</v>
      </c>
      <c r="F263" s="4" t="s">
        <v>434</v>
      </c>
      <c r="G263" s="12">
        <v>404</v>
      </c>
      <c r="H263" s="12">
        <v>1030</v>
      </c>
      <c r="I263" s="13">
        <v>416120</v>
      </c>
      <c r="J263" s="9">
        <f t="shared" si="8"/>
        <v>416120</v>
      </c>
      <c r="K263" s="9">
        <f t="shared" si="9"/>
        <v>0</v>
      </c>
      <c r="L263" s="4"/>
      <c r="M263" s="4">
        <v>3</v>
      </c>
      <c r="N263" s="4" t="s">
        <v>358</v>
      </c>
      <c r="O263" s="4" t="s">
        <v>54</v>
      </c>
      <c r="P263" s="4"/>
    </row>
    <row r="264" spans="1:16" ht="14" customHeight="1">
      <c r="A264" s="3" t="s">
        <v>1211</v>
      </c>
      <c r="B264" s="3" t="s">
        <v>54</v>
      </c>
      <c r="C264" s="3" t="s">
        <v>1209</v>
      </c>
      <c r="D264" s="3" t="s">
        <v>1126</v>
      </c>
      <c r="E264" s="3" t="s">
        <v>1212</v>
      </c>
      <c r="F264" s="3" t="s">
        <v>414</v>
      </c>
      <c r="G264" s="10">
        <v>137605.1</v>
      </c>
      <c r="H264" s="10">
        <v>33.5</v>
      </c>
      <c r="I264" s="11">
        <v>4609771</v>
      </c>
      <c r="J264" s="8">
        <f t="shared" si="8"/>
        <v>4609771</v>
      </c>
      <c r="K264" s="8">
        <f t="shared" si="9"/>
        <v>0</v>
      </c>
      <c r="L264" s="3"/>
      <c r="M264" s="3">
        <v>3</v>
      </c>
      <c r="N264" s="3" t="s">
        <v>358</v>
      </c>
      <c r="O264" s="3" t="s">
        <v>54</v>
      </c>
      <c r="P264" s="3"/>
    </row>
    <row r="265" spans="1:16" ht="14" customHeight="1">
      <c r="A265" s="4" t="s">
        <v>1213</v>
      </c>
      <c r="B265" s="4" t="s">
        <v>54</v>
      </c>
      <c r="C265" s="4" t="s">
        <v>1209</v>
      </c>
      <c r="D265" s="4" t="s">
        <v>1129</v>
      </c>
      <c r="E265" s="4" t="s">
        <v>1214</v>
      </c>
      <c r="F265" s="4" t="s">
        <v>414</v>
      </c>
      <c r="G265" s="12">
        <v>860</v>
      </c>
      <c r="H265" s="12">
        <v>31</v>
      </c>
      <c r="I265" s="13">
        <v>26660</v>
      </c>
      <c r="J265" s="9">
        <f t="shared" si="8"/>
        <v>26660</v>
      </c>
      <c r="K265" s="9">
        <f t="shared" si="9"/>
        <v>0</v>
      </c>
      <c r="L265" s="4"/>
      <c r="M265" s="4">
        <v>3</v>
      </c>
      <c r="N265" s="4" t="s">
        <v>358</v>
      </c>
      <c r="O265" s="4" t="s">
        <v>54</v>
      </c>
      <c r="P265" s="4"/>
    </row>
    <row r="266" spans="1:16" ht="14" customHeight="1">
      <c r="A266" s="3" t="s">
        <v>1215</v>
      </c>
      <c r="B266" s="3" t="s">
        <v>54</v>
      </c>
      <c r="C266" s="3" t="s">
        <v>1209</v>
      </c>
      <c r="D266" s="3" t="s">
        <v>1132</v>
      </c>
      <c r="E266" s="3" t="s">
        <v>1216</v>
      </c>
      <c r="F266" s="3" t="s">
        <v>414</v>
      </c>
      <c r="G266" s="10">
        <v>268298.90000000002</v>
      </c>
      <c r="H266" s="10">
        <v>30.8</v>
      </c>
      <c r="I266" s="11">
        <v>8263606</v>
      </c>
      <c r="J266" s="8">
        <f t="shared" si="8"/>
        <v>8263606</v>
      </c>
      <c r="K266" s="8">
        <f t="shared" si="9"/>
        <v>0</v>
      </c>
      <c r="L266" s="3"/>
      <c r="M266" s="3">
        <v>3</v>
      </c>
      <c r="N266" s="3" t="s">
        <v>358</v>
      </c>
      <c r="O266" s="3" t="s">
        <v>54</v>
      </c>
      <c r="P266" s="3"/>
    </row>
    <row r="267" spans="1:16" ht="14" customHeight="1">
      <c r="A267" s="4" t="s">
        <v>1217</v>
      </c>
      <c r="B267" s="4" t="s">
        <v>54</v>
      </c>
      <c r="C267" s="4" t="s">
        <v>1209</v>
      </c>
      <c r="D267" s="4" t="s">
        <v>1135</v>
      </c>
      <c r="E267" s="4" t="s">
        <v>1218</v>
      </c>
      <c r="F267" s="4" t="s">
        <v>414</v>
      </c>
      <c r="G267" s="12">
        <v>40676.400000000001</v>
      </c>
      <c r="H267" s="12">
        <v>41</v>
      </c>
      <c r="I267" s="13">
        <v>1667732</v>
      </c>
      <c r="J267" s="9">
        <f t="shared" si="8"/>
        <v>1667732</v>
      </c>
      <c r="K267" s="9">
        <f t="shared" si="9"/>
        <v>0</v>
      </c>
      <c r="L267" s="4"/>
      <c r="M267" s="4">
        <v>3</v>
      </c>
      <c r="N267" s="4" t="s">
        <v>358</v>
      </c>
      <c r="O267" s="4" t="s">
        <v>54</v>
      </c>
      <c r="P267" s="4"/>
    </row>
    <row r="268" spans="1:16" ht="14" customHeight="1">
      <c r="A268" s="3" t="s">
        <v>1219</v>
      </c>
      <c r="B268" s="3" t="s">
        <v>54</v>
      </c>
      <c r="C268" s="3" t="s">
        <v>1209</v>
      </c>
      <c r="D268" s="3" t="s">
        <v>1140</v>
      </c>
      <c r="E268" s="3" t="s">
        <v>1220</v>
      </c>
      <c r="F268" s="3" t="s">
        <v>414</v>
      </c>
      <c r="G268" s="10">
        <v>12910.7</v>
      </c>
      <c r="H268" s="10">
        <v>46</v>
      </c>
      <c r="I268" s="11">
        <v>593892</v>
      </c>
      <c r="J268" s="8">
        <f t="shared" si="8"/>
        <v>593892</v>
      </c>
      <c r="K268" s="8">
        <f t="shared" si="9"/>
        <v>0</v>
      </c>
      <c r="L268" s="3"/>
      <c r="M268" s="3">
        <v>3</v>
      </c>
      <c r="N268" s="3" t="s">
        <v>358</v>
      </c>
      <c r="O268" s="3" t="s">
        <v>54</v>
      </c>
      <c r="P268" s="3"/>
    </row>
    <row r="269" spans="1:16" ht="14" customHeight="1">
      <c r="A269" s="4" t="s">
        <v>1221</v>
      </c>
      <c r="B269" s="4" t="s">
        <v>54</v>
      </c>
      <c r="C269" s="4" t="s">
        <v>1209</v>
      </c>
      <c r="D269" s="4" t="s">
        <v>1143</v>
      </c>
      <c r="E269" s="4" t="s">
        <v>1222</v>
      </c>
      <c r="F269" s="4" t="s">
        <v>414</v>
      </c>
      <c r="G269" s="12">
        <v>460351.1</v>
      </c>
      <c r="H269" s="12">
        <v>3</v>
      </c>
      <c r="I269" s="13">
        <v>1381053</v>
      </c>
      <c r="J269" s="9">
        <f t="shared" si="8"/>
        <v>1381053</v>
      </c>
      <c r="K269" s="9">
        <f t="shared" si="9"/>
        <v>0</v>
      </c>
      <c r="L269" s="4"/>
      <c r="M269" s="4">
        <v>3</v>
      </c>
      <c r="N269" s="4" t="s">
        <v>358</v>
      </c>
      <c r="O269" s="4" t="s">
        <v>54</v>
      </c>
      <c r="P269" s="4"/>
    </row>
    <row r="270" spans="1:16" ht="14" customHeight="1">
      <c r="A270" s="3" t="s">
        <v>1223</v>
      </c>
      <c r="B270" s="3" t="s">
        <v>54</v>
      </c>
      <c r="C270" s="3" t="s">
        <v>1209</v>
      </c>
      <c r="D270" s="3" t="s">
        <v>1146</v>
      </c>
      <c r="E270" s="3" t="s">
        <v>1224</v>
      </c>
      <c r="F270" s="3" t="s">
        <v>414</v>
      </c>
      <c r="G270" s="10">
        <v>460351.1</v>
      </c>
      <c r="H270" s="10">
        <v>19.5</v>
      </c>
      <c r="I270" s="11">
        <v>8976846</v>
      </c>
      <c r="J270" s="8">
        <f t="shared" si="8"/>
        <v>8976846</v>
      </c>
      <c r="K270" s="8">
        <f t="shared" si="9"/>
        <v>0</v>
      </c>
      <c r="L270" s="3"/>
      <c r="M270" s="3">
        <v>3</v>
      </c>
      <c r="N270" s="3" t="s">
        <v>358</v>
      </c>
      <c r="O270" s="3" t="s">
        <v>54</v>
      </c>
      <c r="P270" s="3"/>
    </row>
    <row r="271" spans="1:16" ht="14" customHeight="1">
      <c r="A271" s="4" t="s">
        <v>1225</v>
      </c>
      <c r="B271" s="4" t="s">
        <v>54</v>
      </c>
      <c r="C271" s="4" t="s">
        <v>1209</v>
      </c>
      <c r="D271" s="4" t="s">
        <v>1149</v>
      </c>
      <c r="E271" s="4" t="s">
        <v>1226</v>
      </c>
      <c r="F271" s="4" t="s">
        <v>100</v>
      </c>
      <c r="G271" s="12">
        <v>460</v>
      </c>
      <c r="H271" s="12">
        <v>1550</v>
      </c>
      <c r="I271" s="13">
        <v>713000</v>
      </c>
      <c r="J271" s="9">
        <f t="shared" si="8"/>
        <v>713000</v>
      </c>
      <c r="K271" s="9">
        <f t="shared" si="9"/>
        <v>0</v>
      </c>
      <c r="L271" s="4"/>
      <c r="M271" s="4">
        <v>3</v>
      </c>
      <c r="N271" s="4" t="s">
        <v>358</v>
      </c>
      <c r="O271" s="4" t="s">
        <v>54</v>
      </c>
      <c r="P271" s="4"/>
    </row>
    <row r="272" spans="1:16" ht="14" customHeight="1">
      <c r="A272" s="3" t="s">
        <v>1227</v>
      </c>
      <c r="B272" s="3" t="s">
        <v>54</v>
      </c>
      <c r="C272" s="3" t="s">
        <v>1209</v>
      </c>
      <c r="D272" s="3" t="s">
        <v>1152</v>
      </c>
      <c r="E272" s="3" t="s">
        <v>1228</v>
      </c>
      <c r="F272" s="3" t="s">
        <v>414</v>
      </c>
      <c r="G272" s="10">
        <v>1700</v>
      </c>
      <c r="H272" s="10">
        <v>93</v>
      </c>
      <c r="I272" s="11">
        <v>158100</v>
      </c>
      <c r="J272" s="8">
        <f t="shared" si="8"/>
        <v>158100</v>
      </c>
      <c r="K272" s="8">
        <f t="shared" si="9"/>
        <v>0</v>
      </c>
      <c r="L272" s="3"/>
      <c r="M272" s="3">
        <v>3</v>
      </c>
      <c r="N272" s="3" t="s">
        <v>358</v>
      </c>
      <c r="O272" s="3" t="s">
        <v>54</v>
      </c>
      <c r="P272" s="3"/>
    </row>
    <row r="273" spans="1:16" ht="14" customHeight="1">
      <c r="A273" s="4" t="s">
        <v>1229</v>
      </c>
      <c r="B273" s="4" t="s">
        <v>54</v>
      </c>
      <c r="C273" s="4" t="s">
        <v>1209</v>
      </c>
      <c r="D273" s="4" t="s">
        <v>1156</v>
      </c>
      <c r="E273" s="4" t="s">
        <v>1230</v>
      </c>
      <c r="F273" s="4" t="s">
        <v>107</v>
      </c>
      <c r="G273" s="12">
        <v>3454</v>
      </c>
      <c r="H273" s="12">
        <v>880</v>
      </c>
      <c r="I273" s="13">
        <v>3039520</v>
      </c>
      <c r="J273" s="9">
        <f t="shared" si="8"/>
        <v>3039520</v>
      </c>
      <c r="K273" s="9">
        <f t="shared" si="9"/>
        <v>0</v>
      </c>
      <c r="L273" s="4"/>
      <c r="M273" s="4">
        <v>3</v>
      </c>
      <c r="N273" s="4" t="s">
        <v>358</v>
      </c>
      <c r="O273" s="4" t="s">
        <v>54</v>
      </c>
      <c r="P273" s="4"/>
    </row>
    <row r="274" spans="1:16" ht="14" customHeight="1">
      <c r="A274" s="3" t="s">
        <v>1231</v>
      </c>
      <c r="B274" s="3" t="s">
        <v>54</v>
      </c>
      <c r="C274" s="3" t="s">
        <v>1209</v>
      </c>
      <c r="D274" s="3" t="s">
        <v>1159</v>
      </c>
      <c r="E274" s="3" t="s">
        <v>1232</v>
      </c>
      <c r="F274" s="3" t="s">
        <v>162</v>
      </c>
      <c r="G274" s="10">
        <v>75</v>
      </c>
      <c r="H274" s="10">
        <v>700</v>
      </c>
      <c r="I274" s="11">
        <v>52500</v>
      </c>
      <c r="J274" s="8">
        <f t="shared" si="8"/>
        <v>52500</v>
      </c>
      <c r="K274" s="8">
        <f t="shared" si="9"/>
        <v>0</v>
      </c>
      <c r="L274" s="3"/>
      <c r="M274" s="3">
        <v>3</v>
      </c>
      <c r="N274" s="3" t="s">
        <v>358</v>
      </c>
      <c r="O274" s="3" t="s">
        <v>54</v>
      </c>
      <c r="P274" s="3"/>
    </row>
    <row r="275" spans="1:16" ht="14" customHeight="1">
      <c r="A275" s="4" t="s">
        <v>1233</v>
      </c>
      <c r="B275" s="4" t="s">
        <v>54</v>
      </c>
      <c r="C275" s="4" t="s">
        <v>1209</v>
      </c>
      <c r="D275" s="4" t="s">
        <v>1162</v>
      </c>
      <c r="E275" s="4" t="s">
        <v>1234</v>
      </c>
      <c r="F275" s="4" t="s">
        <v>421</v>
      </c>
      <c r="G275" s="12">
        <v>11700</v>
      </c>
      <c r="H275" s="12">
        <v>45</v>
      </c>
      <c r="I275" s="13">
        <v>526500</v>
      </c>
      <c r="J275" s="9">
        <f t="shared" si="8"/>
        <v>526500</v>
      </c>
      <c r="K275" s="9">
        <f t="shared" si="9"/>
        <v>0</v>
      </c>
      <c r="L275" s="4"/>
      <c r="M275" s="4">
        <v>3</v>
      </c>
      <c r="N275" s="4" t="s">
        <v>358</v>
      </c>
      <c r="O275" s="4" t="s">
        <v>54</v>
      </c>
      <c r="P275" s="4"/>
    </row>
    <row r="276" spans="1:16" ht="14" customHeight="1">
      <c r="A276" s="3" t="s">
        <v>1235</v>
      </c>
      <c r="B276" s="3" t="s">
        <v>54</v>
      </c>
      <c r="C276" s="3" t="s">
        <v>1209</v>
      </c>
      <c r="D276" s="3" t="s">
        <v>1165</v>
      </c>
      <c r="E276" s="3" t="s">
        <v>1236</v>
      </c>
      <c r="F276" s="3" t="s">
        <v>438</v>
      </c>
      <c r="G276" s="10">
        <v>34</v>
      </c>
      <c r="H276" s="10">
        <v>2580</v>
      </c>
      <c r="I276" s="11">
        <v>87720</v>
      </c>
      <c r="J276" s="8">
        <f t="shared" si="8"/>
        <v>87720</v>
      </c>
      <c r="K276" s="8">
        <f t="shared" si="9"/>
        <v>0</v>
      </c>
      <c r="L276" s="3"/>
      <c r="M276" s="3">
        <v>3</v>
      </c>
      <c r="N276" s="3" t="s">
        <v>358</v>
      </c>
      <c r="O276" s="3" t="s">
        <v>54</v>
      </c>
      <c r="P276" s="3"/>
    </row>
    <row r="277" spans="1:16" ht="14" customHeight="1">
      <c r="A277" s="4" t="s">
        <v>1237</v>
      </c>
      <c r="B277" s="4" t="s">
        <v>54</v>
      </c>
      <c r="C277" s="4" t="s">
        <v>1209</v>
      </c>
      <c r="D277" s="4" t="s">
        <v>1168</v>
      </c>
      <c r="E277" s="4" t="s">
        <v>1238</v>
      </c>
      <c r="F277" s="4" t="s">
        <v>107</v>
      </c>
      <c r="G277" s="12">
        <v>6257.9</v>
      </c>
      <c r="H277" s="12">
        <v>385</v>
      </c>
      <c r="I277" s="13">
        <v>2409292</v>
      </c>
      <c r="J277" s="9">
        <f t="shared" si="8"/>
        <v>2409292</v>
      </c>
      <c r="K277" s="9">
        <f t="shared" si="9"/>
        <v>0</v>
      </c>
      <c r="L277" s="4"/>
      <c r="M277" s="4">
        <v>3</v>
      </c>
      <c r="N277" s="4" t="s">
        <v>358</v>
      </c>
      <c r="O277" s="4" t="s">
        <v>54</v>
      </c>
      <c r="P277" s="4"/>
    </row>
    <row r="278" spans="1:16" ht="14" customHeight="1">
      <c r="A278" s="3" t="s">
        <v>1239</v>
      </c>
      <c r="B278" s="3" t="s">
        <v>54</v>
      </c>
      <c r="C278" s="3" t="s">
        <v>1209</v>
      </c>
      <c r="D278" s="3" t="s">
        <v>1171</v>
      </c>
      <c r="E278" s="3" t="s">
        <v>1240</v>
      </c>
      <c r="F278" s="3" t="s">
        <v>357</v>
      </c>
      <c r="G278" s="10">
        <v>1</v>
      </c>
      <c r="H278" s="10">
        <v>1142900</v>
      </c>
      <c r="I278" s="11">
        <v>1142900</v>
      </c>
      <c r="J278" s="8">
        <f t="shared" si="8"/>
        <v>1142900</v>
      </c>
      <c r="K278" s="8">
        <f t="shared" si="9"/>
        <v>0</v>
      </c>
      <c r="L278" s="3"/>
      <c r="M278" s="3">
        <v>3</v>
      </c>
      <c r="N278" s="3" t="s">
        <v>358</v>
      </c>
      <c r="O278" s="3" t="s">
        <v>54</v>
      </c>
      <c r="P278" s="3"/>
    </row>
    <row r="279" spans="1:16" ht="14" customHeight="1">
      <c r="A279" s="4" t="s">
        <v>1241</v>
      </c>
      <c r="B279" s="4" t="s">
        <v>54</v>
      </c>
      <c r="C279" s="4" t="s">
        <v>1209</v>
      </c>
      <c r="D279" s="4" t="s">
        <v>1175</v>
      </c>
      <c r="E279" s="4" t="s">
        <v>1242</v>
      </c>
      <c r="F279" s="4" t="s">
        <v>357</v>
      </c>
      <c r="G279" s="12">
        <v>1</v>
      </c>
      <c r="H279" s="12">
        <v>123600</v>
      </c>
      <c r="I279" s="13">
        <v>123600</v>
      </c>
      <c r="J279" s="9">
        <f t="shared" si="8"/>
        <v>123600</v>
      </c>
      <c r="K279" s="9">
        <f t="shared" si="9"/>
        <v>0</v>
      </c>
      <c r="L279" s="4"/>
      <c r="M279" s="4">
        <v>3</v>
      </c>
      <c r="N279" s="4" t="s">
        <v>358</v>
      </c>
      <c r="O279" s="4" t="s">
        <v>54</v>
      </c>
      <c r="P279" s="4"/>
    </row>
    <row r="280" spans="1:16" ht="14" customHeight="1">
      <c r="A280" s="3" t="s">
        <v>1243</v>
      </c>
      <c r="B280" s="3" t="s">
        <v>54</v>
      </c>
      <c r="C280" s="3" t="s">
        <v>1244</v>
      </c>
      <c r="D280" s="3" t="s">
        <v>1123</v>
      </c>
      <c r="E280" s="3" t="s">
        <v>1214</v>
      </c>
      <c r="F280" s="3" t="s">
        <v>414</v>
      </c>
      <c r="G280" s="10">
        <v>1032</v>
      </c>
      <c r="H280" s="10">
        <v>31</v>
      </c>
      <c r="I280" s="11">
        <v>31992</v>
      </c>
      <c r="J280" s="8">
        <f t="shared" si="8"/>
        <v>31992</v>
      </c>
      <c r="K280" s="8">
        <f t="shared" si="9"/>
        <v>0</v>
      </c>
      <c r="L280" s="3"/>
      <c r="M280" s="3">
        <v>3</v>
      </c>
      <c r="N280" s="3" t="s">
        <v>358</v>
      </c>
      <c r="O280" s="3" t="s">
        <v>54</v>
      </c>
      <c r="P280" s="3"/>
    </row>
    <row r="281" spans="1:16" ht="14" customHeight="1">
      <c r="A281" s="4" t="s">
        <v>1245</v>
      </c>
      <c r="B281" s="4" t="s">
        <v>54</v>
      </c>
      <c r="C281" s="4" t="s">
        <v>1244</v>
      </c>
      <c r="D281" s="4" t="s">
        <v>1126</v>
      </c>
      <c r="E281" s="4" t="s">
        <v>1216</v>
      </c>
      <c r="F281" s="4" t="s">
        <v>414</v>
      </c>
      <c r="G281" s="12">
        <v>8433.7000000000007</v>
      </c>
      <c r="H281" s="12">
        <v>30.8</v>
      </c>
      <c r="I281" s="13">
        <v>259758</v>
      </c>
      <c r="J281" s="9">
        <f t="shared" si="8"/>
        <v>259758</v>
      </c>
      <c r="K281" s="9">
        <f t="shared" si="9"/>
        <v>0</v>
      </c>
      <c r="L281" s="4"/>
      <c r="M281" s="4">
        <v>3</v>
      </c>
      <c r="N281" s="4" t="s">
        <v>358</v>
      </c>
      <c r="O281" s="4" t="s">
        <v>54</v>
      </c>
      <c r="P281" s="4"/>
    </row>
    <row r="282" spans="1:16" ht="14" customHeight="1">
      <c r="A282" s="3" t="s">
        <v>1246</v>
      </c>
      <c r="B282" s="3" t="s">
        <v>54</v>
      </c>
      <c r="C282" s="3" t="s">
        <v>1244</v>
      </c>
      <c r="D282" s="3" t="s">
        <v>1129</v>
      </c>
      <c r="E282" s="3" t="s">
        <v>1218</v>
      </c>
      <c r="F282" s="3" t="s">
        <v>414</v>
      </c>
      <c r="G282" s="10">
        <v>946.6</v>
      </c>
      <c r="H282" s="10">
        <v>41</v>
      </c>
      <c r="I282" s="11">
        <v>38811</v>
      </c>
      <c r="J282" s="8">
        <f t="shared" si="8"/>
        <v>38811</v>
      </c>
      <c r="K282" s="8">
        <f t="shared" si="9"/>
        <v>0</v>
      </c>
      <c r="L282" s="3"/>
      <c r="M282" s="3">
        <v>3</v>
      </c>
      <c r="N282" s="3" t="s">
        <v>358</v>
      </c>
      <c r="O282" s="3" t="s">
        <v>54</v>
      </c>
      <c r="P282" s="3"/>
    </row>
    <row r="283" spans="1:16" ht="14" customHeight="1">
      <c r="A283" s="4" t="s">
        <v>1247</v>
      </c>
      <c r="B283" s="4" t="s">
        <v>54</v>
      </c>
      <c r="C283" s="4" t="s">
        <v>1244</v>
      </c>
      <c r="D283" s="4" t="s">
        <v>1132</v>
      </c>
      <c r="E283" s="4" t="s">
        <v>1220</v>
      </c>
      <c r="F283" s="4" t="s">
        <v>414</v>
      </c>
      <c r="G283" s="12">
        <v>2546.5</v>
      </c>
      <c r="H283" s="12">
        <v>46</v>
      </c>
      <c r="I283" s="13">
        <v>117139</v>
      </c>
      <c r="J283" s="9">
        <f t="shared" si="8"/>
        <v>117139</v>
      </c>
      <c r="K283" s="9">
        <f t="shared" si="9"/>
        <v>0</v>
      </c>
      <c r="L283" s="4"/>
      <c r="M283" s="4">
        <v>3</v>
      </c>
      <c r="N283" s="4" t="s">
        <v>358</v>
      </c>
      <c r="O283" s="4" t="s">
        <v>54</v>
      </c>
      <c r="P283" s="4"/>
    </row>
    <row r="284" spans="1:16" ht="14" customHeight="1">
      <c r="A284" s="3" t="s">
        <v>1248</v>
      </c>
      <c r="B284" s="3" t="s">
        <v>54</v>
      </c>
      <c r="C284" s="3" t="s">
        <v>1244</v>
      </c>
      <c r="D284" s="3" t="s">
        <v>1135</v>
      </c>
      <c r="E284" s="3" t="s">
        <v>1222</v>
      </c>
      <c r="F284" s="3" t="s">
        <v>414</v>
      </c>
      <c r="G284" s="10">
        <v>12958.8</v>
      </c>
      <c r="H284" s="10">
        <v>3</v>
      </c>
      <c r="I284" s="11">
        <v>38876</v>
      </c>
      <c r="J284" s="8">
        <f t="shared" si="8"/>
        <v>38876</v>
      </c>
      <c r="K284" s="8">
        <f t="shared" si="9"/>
        <v>0</v>
      </c>
      <c r="L284" s="3"/>
      <c r="M284" s="3">
        <v>4</v>
      </c>
      <c r="N284" s="3" t="s">
        <v>358</v>
      </c>
      <c r="O284" s="3" t="s">
        <v>54</v>
      </c>
      <c r="P284" s="3"/>
    </row>
    <row r="285" spans="1:16" ht="14" customHeight="1">
      <c r="A285" s="4" t="s">
        <v>1249</v>
      </c>
      <c r="B285" s="4" t="s">
        <v>54</v>
      </c>
      <c r="C285" s="4" t="s">
        <v>1244</v>
      </c>
      <c r="D285" s="4" t="s">
        <v>1140</v>
      </c>
      <c r="E285" s="4" t="s">
        <v>1224</v>
      </c>
      <c r="F285" s="4" t="s">
        <v>414</v>
      </c>
      <c r="G285" s="12">
        <v>12958.8</v>
      </c>
      <c r="H285" s="12">
        <v>26</v>
      </c>
      <c r="I285" s="13">
        <v>336929</v>
      </c>
      <c r="J285" s="9">
        <f t="shared" si="8"/>
        <v>336929</v>
      </c>
      <c r="K285" s="9">
        <f t="shared" si="9"/>
        <v>0</v>
      </c>
      <c r="L285" s="4"/>
      <c r="M285" s="4">
        <v>4</v>
      </c>
      <c r="N285" s="4" t="s">
        <v>358</v>
      </c>
      <c r="O285" s="4" t="s">
        <v>54</v>
      </c>
      <c r="P285" s="4"/>
    </row>
    <row r="286" spans="1:16" ht="14" customHeight="1">
      <c r="A286" s="3" t="s">
        <v>1250</v>
      </c>
      <c r="B286" s="3" t="s">
        <v>54</v>
      </c>
      <c r="C286" s="3" t="s">
        <v>1244</v>
      </c>
      <c r="D286" s="3" t="s">
        <v>1143</v>
      </c>
      <c r="E286" s="3" t="s">
        <v>1226</v>
      </c>
      <c r="F286" s="3" t="s">
        <v>357</v>
      </c>
      <c r="G286" s="10">
        <v>1</v>
      </c>
      <c r="H286" s="10">
        <v>67000</v>
      </c>
      <c r="I286" s="11">
        <v>67000</v>
      </c>
      <c r="J286" s="8">
        <f t="shared" si="8"/>
        <v>67000</v>
      </c>
      <c r="K286" s="8">
        <f t="shared" si="9"/>
        <v>0</v>
      </c>
      <c r="L286" s="3"/>
      <c r="M286" s="3">
        <v>4</v>
      </c>
      <c r="N286" s="3" t="s">
        <v>358</v>
      </c>
      <c r="O286" s="3" t="s">
        <v>54</v>
      </c>
      <c r="P286" s="3"/>
    </row>
    <row r="287" spans="1:16" ht="14" customHeight="1">
      <c r="A287" s="4" t="s">
        <v>1251</v>
      </c>
      <c r="B287" s="4" t="s">
        <v>54</v>
      </c>
      <c r="C287" s="4" t="s">
        <v>1244</v>
      </c>
      <c r="D287" s="4" t="s">
        <v>1146</v>
      </c>
      <c r="E287" s="4" t="s">
        <v>1228</v>
      </c>
      <c r="F287" s="4" t="s">
        <v>414</v>
      </c>
      <c r="G287" s="12">
        <v>80</v>
      </c>
      <c r="H287" s="12">
        <v>95</v>
      </c>
      <c r="I287" s="13">
        <v>7600</v>
      </c>
      <c r="J287" s="9">
        <f t="shared" si="8"/>
        <v>7600</v>
      </c>
      <c r="K287" s="9">
        <f t="shared" si="9"/>
        <v>0</v>
      </c>
      <c r="L287" s="4"/>
      <c r="M287" s="4">
        <v>4</v>
      </c>
      <c r="N287" s="4" t="s">
        <v>358</v>
      </c>
      <c r="O287" s="4" t="s">
        <v>54</v>
      </c>
      <c r="P287" s="4"/>
    </row>
    <row r="288" spans="1:16" ht="14" customHeight="1">
      <c r="A288" s="3" t="s">
        <v>1252</v>
      </c>
      <c r="B288" s="3" t="s">
        <v>54</v>
      </c>
      <c r="C288" s="3" t="s">
        <v>1244</v>
      </c>
      <c r="D288" s="3" t="s">
        <v>1149</v>
      </c>
      <c r="E288" s="3" t="s">
        <v>1230</v>
      </c>
      <c r="F288" s="3" t="s">
        <v>107</v>
      </c>
      <c r="G288" s="10">
        <v>464</v>
      </c>
      <c r="H288" s="10">
        <v>930</v>
      </c>
      <c r="I288" s="11">
        <v>431520</v>
      </c>
      <c r="J288" s="8">
        <f t="shared" si="8"/>
        <v>431520</v>
      </c>
      <c r="K288" s="8">
        <f t="shared" si="9"/>
        <v>0</v>
      </c>
      <c r="L288" s="3"/>
      <c r="M288" s="3">
        <v>4</v>
      </c>
      <c r="N288" s="3" t="s">
        <v>358</v>
      </c>
      <c r="O288" s="3" t="s">
        <v>54</v>
      </c>
      <c r="P288" s="3"/>
    </row>
    <row r="289" spans="1:16" ht="14" customHeight="1">
      <c r="A289" s="4" t="s">
        <v>1253</v>
      </c>
      <c r="B289" s="4" t="s">
        <v>54</v>
      </c>
      <c r="C289" s="4" t="s">
        <v>1244</v>
      </c>
      <c r="D289" s="4" t="s">
        <v>1152</v>
      </c>
      <c r="E289" s="4" t="s">
        <v>1234</v>
      </c>
      <c r="F289" s="4" t="s">
        <v>421</v>
      </c>
      <c r="G289" s="12">
        <v>380</v>
      </c>
      <c r="H289" s="12">
        <v>45</v>
      </c>
      <c r="I289" s="13">
        <v>17100</v>
      </c>
      <c r="J289" s="9">
        <f t="shared" si="8"/>
        <v>17100</v>
      </c>
      <c r="K289" s="9">
        <f t="shared" si="9"/>
        <v>0</v>
      </c>
      <c r="L289" s="4"/>
      <c r="M289" s="4">
        <v>4</v>
      </c>
      <c r="N289" s="4" t="s">
        <v>358</v>
      </c>
      <c r="O289" s="4" t="s">
        <v>54</v>
      </c>
      <c r="P289" s="4"/>
    </row>
    <row r="290" spans="1:16" ht="14" customHeight="1">
      <c r="A290" s="3" t="s">
        <v>1254</v>
      </c>
      <c r="B290" s="3" t="s">
        <v>54</v>
      </c>
      <c r="C290" s="3" t="s">
        <v>1244</v>
      </c>
      <c r="D290" s="3" t="s">
        <v>1156</v>
      </c>
      <c r="E290" s="3" t="s">
        <v>1238</v>
      </c>
      <c r="F290" s="3" t="s">
        <v>107</v>
      </c>
      <c r="G290" s="10">
        <v>188.1</v>
      </c>
      <c r="H290" s="10">
        <v>415</v>
      </c>
      <c r="I290" s="11">
        <v>78062</v>
      </c>
      <c r="J290" s="8">
        <f t="shared" si="8"/>
        <v>78062</v>
      </c>
      <c r="K290" s="8">
        <f t="shared" si="9"/>
        <v>0</v>
      </c>
      <c r="L290" s="3"/>
      <c r="M290" s="3">
        <v>4</v>
      </c>
      <c r="N290" s="3" t="s">
        <v>358</v>
      </c>
      <c r="O290" s="3" t="s">
        <v>54</v>
      </c>
      <c r="P290" s="3"/>
    </row>
    <row r="291" spans="1:16" ht="14" customHeight="1">
      <c r="A291" s="4" t="s">
        <v>1255</v>
      </c>
      <c r="B291" s="4" t="s">
        <v>54</v>
      </c>
      <c r="C291" s="4" t="s">
        <v>1244</v>
      </c>
      <c r="D291" s="4" t="s">
        <v>1159</v>
      </c>
      <c r="E291" s="4" t="s">
        <v>1240</v>
      </c>
      <c r="F291" s="4" t="s">
        <v>357</v>
      </c>
      <c r="G291" s="12">
        <v>1</v>
      </c>
      <c r="H291" s="12">
        <v>71000</v>
      </c>
      <c r="I291" s="13">
        <v>71000</v>
      </c>
      <c r="J291" s="9">
        <f t="shared" si="8"/>
        <v>71000</v>
      </c>
      <c r="K291" s="9">
        <f t="shared" si="9"/>
        <v>0</v>
      </c>
      <c r="L291" s="4"/>
      <c r="M291" s="4">
        <v>4</v>
      </c>
      <c r="N291" s="4" t="s">
        <v>358</v>
      </c>
      <c r="O291" s="4" t="s">
        <v>54</v>
      </c>
      <c r="P291" s="4"/>
    </row>
    <row r="292" spans="1:16" ht="14" customHeight="1">
      <c r="A292" s="3" t="s">
        <v>1256</v>
      </c>
      <c r="B292" s="3" t="s">
        <v>1257</v>
      </c>
      <c r="C292" s="3" t="s">
        <v>1258</v>
      </c>
      <c r="D292" s="3" t="s">
        <v>1123</v>
      </c>
      <c r="E292" s="3" t="s">
        <v>1259</v>
      </c>
      <c r="F292" s="3" t="s">
        <v>107</v>
      </c>
      <c r="G292" s="10">
        <v>65</v>
      </c>
      <c r="H292" s="10">
        <v>600</v>
      </c>
      <c r="I292" s="11">
        <v>39000</v>
      </c>
      <c r="J292" s="8">
        <f t="shared" si="8"/>
        <v>39000</v>
      </c>
      <c r="K292" s="8">
        <f t="shared" si="9"/>
        <v>0</v>
      </c>
      <c r="L292" s="3" t="s">
        <v>1260</v>
      </c>
      <c r="M292" s="3">
        <v>4</v>
      </c>
      <c r="N292" s="3" t="s">
        <v>358</v>
      </c>
      <c r="O292" s="3" t="s">
        <v>56</v>
      </c>
      <c r="P292" s="3"/>
    </row>
    <row r="293" spans="1:16" ht="14" customHeight="1">
      <c r="A293" s="4" t="s">
        <v>1261</v>
      </c>
      <c r="B293" s="4" t="s">
        <v>1257</v>
      </c>
      <c r="C293" s="4" t="s">
        <v>1258</v>
      </c>
      <c r="D293" s="4" t="s">
        <v>1126</v>
      </c>
      <c r="E293" s="4" t="s">
        <v>1262</v>
      </c>
      <c r="F293" s="4" t="s">
        <v>107</v>
      </c>
      <c r="G293" s="12">
        <v>55</v>
      </c>
      <c r="H293" s="12">
        <v>600</v>
      </c>
      <c r="I293" s="13">
        <v>33000</v>
      </c>
      <c r="J293" s="9">
        <f t="shared" si="8"/>
        <v>33000</v>
      </c>
      <c r="K293" s="9">
        <f t="shared" si="9"/>
        <v>0</v>
      </c>
      <c r="L293" s="4" t="s">
        <v>1260</v>
      </c>
      <c r="M293" s="4">
        <v>4</v>
      </c>
      <c r="N293" s="4" t="s">
        <v>358</v>
      </c>
      <c r="O293" s="4" t="s">
        <v>56</v>
      </c>
      <c r="P293" s="4"/>
    </row>
    <row r="294" spans="1:16" ht="14" customHeight="1">
      <c r="A294" s="3" t="s">
        <v>1263</v>
      </c>
      <c r="B294" s="3" t="s">
        <v>1257</v>
      </c>
      <c r="C294" s="3" t="s">
        <v>1258</v>
      </c>
      <c r="D294" s="3" t="s">
        <v>1129</v>
      </c>
      <c r="E294" s="3" t="s">
        <v>1264</v>
      </c>
      <c r="F294" s="3" t="s">
        <v>107</v>
      </c>
      <c r="G294" s="10">
        <v>253</v>
      </c>
      <c r="H294" s="10">
        <v>340</v>
      </c>
      <c r="I294" s="11">
        <v>86021</v>
      </c>
      <c r="J294" s="8">
        <f t="shared" si="8"/>
        <v>86020</v>
      </c>
      <c r="K294" s="8">
        <f t="shared" si="9"/>
        <v>1</v>
      </c>
      <c r="L294" s="3" t="s">
        <v>1265</v>
      </c>
      <c r="M294" s="3">
        <v>4</v>
      </c>
      <c r="N294" s="3" t="s">
        <v>358</v>
      </c>
      <c r="O294" s="3" t="s">
        <v>56</v>
      </c>
      <c r="P294" s="3"/>
    </row>
    <row r="295" spans="1:16" ht="14" customHeight="1">
      <c r="A295" s="4" t="s">
        <v>1266</v>
      </c>
      <c r="B295" s="4" t="s">
        <v>1257</v>
      </c>
      <c r="C295" s="4" t="s">
        <v>1258</v>
      </c>
      <c r="D295" s="4" t="s">
        <v>1132</v>
      </c>
      <c r="E295" s="4" t="s">
        <v>1267</v>
      </c>
      <c r="F295" s="4" t="s">
        <v>107</v>
      </c>
      <c r="G295" s="12">
        <v>35</v>
      </c>
      <c r="H295" s="12">
        <v>880</v>
      </c>
      <c r="I295" s="13">
        <v>30800</v>
      </c>
      <c r="J295" s="9">
        <f t="shared" si="8"/>
        <v>30800</v>
      </c>
      <c r="K295" s="9">
        <f t="shared" si="9"/>
        <v>0</v>
      </c>
      <c r="L295" s="4" t="s">
        <v>1268</v>
      </c>
      <c r="M295" s="4">
        <v>4</v>
      </c>
      <c r="N295" s="4" t="s">
        <v>358</v>
      </c>
      <c r="O295" s="4" t="s">
        <v>56</v>
      </c>
      <c r="P295" s="4"/>
    </row>
    <row r="296" spans="1:16" ht="14" customHeight="1">
      <c r="A296" s="3" t="s">
        <v>1269</v>
      </c>
      <c r="B296" s="3" t="s">
        <v>1257</v>
      </c>
      <c r="C296" s="3" t="s">
        <v>1258</v>
      </c>
      <c r="D296" s="3" t="s">
        <v>1135</v>
      </c>
      <c r="E296" s="3" t="s">
        <v>1270</v>
      </c>
      <c r="F296" s="3" t="s">
        <v>107</v>
      </c>
      <c r="G296" s="10">
        <v>1889</v>
      </c>
      <c r="H296" s="10">
        <v>880</v>
      </c>
      <c r="I296" s="11">
        <v>1662322</v>
      </c>
      <c r="J296" s="8">
        <f t="shared" si="8"/>
        <v>1662320</v>
      </c>
      <c r="K296" s="8">
        <f t="shared" si="9"/>
        <v>2</v>
      </c>
      <c r="L296" s="3" t="s">
        <v>1268</v>
      </c>
      <c r="M296" s="3">
        <v>4</v>
      </c>
      <c r="N296" s="3" t="s">
        <v>358</v>
      </c>
      <c r="O296" s="3" t="s">
        <v>56</v>
      </c>
      <c r="P296" s="3" t="s">
        <v>1271</v>
      </c>
    </row>
    <row r="297" spans="1:16" ht="14" customHeight="1">
      <c r="A297" s="4" t="s">
        <v>1272</v>
      </c>
      <c r="B297" s="4" t="s">
        <v>1257</v>
      </c>
      <c r="C297" s="4" t="s">
        <v>1258</v>
      </c>
      <c r="D297" s="4" t="s">
        <v>1140</v>
      </c>
      <c r="E297" s="4" t="s">
        <v>1273</v>
      </c>
      <c r="F297" s="4" t="s">
        <v>107</v>
      </c>
      <c r="G297" s="12">
        <v>63</v>
      </c>
      <c r="H297" s="12">
        <v>880</v>
      </c>
      <c r="I297" s="13">
        <v>55440</v>
      </c>
      <c r="J297" s="9">
        <f t="shared" si="8"/>
        <v>55440</v>
      </c>
      <c r="K297" s="9">
        <f t="shared" si="9"/>
        <v>0</v>
      </c>
      <c r="L297" s="4" t="s">
        <v>1268</v>
      </c>
      <c r="M297" s="4">
        <v>4</v>
      </c>
      <c r="N297" s="4" t="s">
        <v>358</v>
      </c>
      <c r="O297" s="4" t="s">
        <v>56</v>
      </c>
      <c r="P297" s="4"/>
    </row>
    <row r="298" spans="1:16" ht="14" customHeight="1">
      <c r="A298" s="3" t="s">
        <v>1274</v>
      </c>
      <c r="B298" s="3" t="s">
        <v>1257</v>
      </c>
      <c r="C298" s="3" t="s">
        <v>1258</v>
      </c>
      <c r="D298" s="3" t="s">
        <v>1143</v>
      </c>
      <c r="E298" s="3" t="s">
        <v>1275</v>
      </c>
      <c r="F298" s="3" t="s">
        <v>162</v>
      </c>
      <c r="G298" s="10">
        <v>679</v>
      </c>
      <c r="H298" s="10">
        <v>390</v>
      </c>
      <c r="I298" s="11">
        <v>264810</v>
      </c>
      <c r="J298" s="8">
        <f t="shared" si="8"/>
        <v>264810</v>
      </c>
      <c r="K298" s="8">
        <f t="shared" si="9"/>
        <v>0</v>
      </c>
      <c r="L298" s="3" t="s">
        <v>1276</v>
      </c>
      <c r="M298" s="3">
        <v>4</v>
      </c>
      <c r="N298" s="3" t="s">
        <v>358</v>
      </c>
      <c r="O298" s="3" t="s">
        <v>56</v>
      </c>
      <c r="P298" s="3"/>
    </row>
    <row r="299" spans="1:16" ht="14" customHeight="1">
      <c r="A299" s="4" t="s">
        <v>1277</v>
      </c>
      <c r="B299" s="4" t="s">
        <v>1257</v>
      </c>
      <c r="C299" s="4" t="s">
        <v>1258</v>
      </c>
      <c r="D299" s="4" t="s">
        <v>1146</v>
      </c>
      <c r="E299" s="4" t="s">
        <v>1278</v>
      </c>
      <c r="F299" s="4" t="s">
        <v>162</v>
      </c>
      <c r="G299" s="12">
        <v>545</v>
      </c>
      <c r="H299" s="12">
        <v>230</v>
      </c>
      <c r="I299" s="13">
        <v>125350</v>
      </c>
      <c r="J299" s="9">
        <f t="shared" si="8"/>
        <v>125350</v>
      </c>
      <c r="K299" s="9">
        <f t="shared" si="9"/>
        <v>0</v>
      </c>
      <c r="L299" s="4" t="s">
        <v>1279</v>
      </c>
      <c r="M299" s="4">
        <v>4</v>
      </c>
      <c r="N299" s="4" t="s">
        <v>358</v>
      </c>
      <c r="O299" s="4" t="s">
        <v>56</v>
      </c>
      <c r="P299" s="4"/>
    </row>
    <row r="300" spans="1:16" ht="14" customHeight="1">
      <c r="A300" s="3" t="s">
        <v>1280</v>
      </c>
      <c r="B300" s="3" t="s">
        <v>1257</v>
      </c>
      <c r="C300" s="3" t="s">
        <v>1281</v>
      </c>
      <c r="D300" s="3" t="s">
        <v>1123</v>
      </c>
      <c r="E300" s="3" t="s">
        <v>1282</v>
      </c>
      <c r="F300" s="3" t="s">
        <v>107</v>
      </c>
      <c r="G300" s="10">
        <v>92</v>
      </c>
      <c r="H300" s="10">
        <v>1500</v>
      </c>
      <c r="I300" s="11">
        <v>138000</v>
      </c>
      <c r="J300" s="8">
        <f t="shared" si="8"/>
        <v>138000</v>
      </c>
      <c r="K300" s="8">
        <f t="shared" si="9"/>
        <v>0</v>
      </c>
      <c r="L300" s="3" t="s">
        <v>1283</v>
      </c>
      <c r="M300" s="3">
        <v>4</v>
      </c>
      <c r="N300" s="3" t="s">
        <v>358</v>
      </c>
      <c r="O300" s="3" t="s">
        <v>56</v>
      </c>
      <c r="P300" s="3"/>
    </row>
    <row r="301" spans="1:16" ht="14" customHeight="1">
      <c r="A301" s="4" t="s">
        <v>1284</v>
      </c>
      <c r="B301" s="4" t="s">
        <v>1257</v>
      </c>
      <c r="C301" s="4" t="s">
        <v>1281</v>
      </c>
      <c r="D301" s="4" t="s">
        <v>1126</v>
      </c>
      <c r="E301" s="4" t="s">
        <v>1285</v>
      </c>
      <c r="F301" s="4" t="s">
        <v>107</v>
      </c>
      <c r="G301" s="12">
        <v>162</v>
      </c>
      <c r="H301" s="12">
        <v>1500</v>
      </c>
      <c r="I301" s="13">
        <v>243000</v>
      </c>
      <c r="J301" s="9">
        <f t="shared" si="8"/>
        <v>243000</v>
      </c>
      <c r="K301" s="9">
        <f t="shared" si="9"/>
        <v>0</v>
      </c>
      <c r="L301" s="4" t="s">
        <v>1283</v>
      </c>
      <c r="M301" s="4">
        <v>4</v>
      </c>
      <c r="N301" s="4" t="s">
        <v>358</v>
      </c>
      <c r="O301" s="4" t="s">
        <v>56</v>
      </c>
      <c r="P301" s="4"/>
    </row>
    <row r="302" spans="1:16" ht="14" customHeight="1">
      <c r="A302" s="3" t="s">
        <v>1286</v>
      </c>
      <c r="B302" s="3" t="s">
        <v>1257</v>
      </c>
      <c r="C302" s="3" t="s">
        <v>1281</v>
      </c>
      <c r="D302" s="3" t="s">
        <v>1129</v>
      </c>
      <c r="E302" s="3" t="s">
        <v>1287</v>
      </c>
      <c r="F302" s="3" t="s">
        <v>107</v>
      </c>
      <c r="G302" s="10">
        <v>2854</v>
      </c>
      <c r="H302" s="10">
        <v>1240</v>
      </c>
      <c r="I302" s="11">
        <v>3538960</v>
      </c>
      <c r="J302" s="8">
        <f t="shared" si="8"/>
        <v>3538960</v>
      </c>
      <c r="K302" s="8">
        <f t="shared" si="9"/>
        <v>0</v>
      </c>
      <c r="L302" s="3" t="s">
        <v>1288</v>
      </c>
      <c r="M302" s="3">
        <v>4</v>
      </c>
      <c r="N302" s="3" t="s">
        <v>358</v>
      </c>
      <c r="O302" s="3" t="s">
        <v>56</v>
      </c>
      <c r="P302" s="3"/>
    </row>
    <row r="303" spans="1:16" ht="14" customHeight="1">
      <c r="A303" s="4" t="s">
        <v>1289</v>
      </c>
      <c r="B303" s="4" t="s">
        <v>1257</v>
      </c>
      <c r="C303" s="4" t="s">
        <v>1281</v>
      </c>
      <c r="D303" s="4" t="s">
        <v>1132</v>
      </c>
      <c r="E303" s="4" t="s">
        <v>1290</v>
      </c>
      <c r="F303" s="4" t="s">
        <v>107</v>
      </c>
      <c r="G303" s="12">
        <v>144</v>
      </c>
      <c r="H303" s="12">
        <v>1930</v>
      </c>
      <c r="I303" s="13">
        <v>277920</v>
      </c>
      <c r="J303" s="9">
        <f t="shared" si="8"/>
        <v>277920</v>
      </c>
      <c r="K303" s="9">
        <f t="shared" si="9"/>
        <v>0</v>
      </c>
      <c r="L303" s="4" t="s">
        <v>1291</v>
      </c>
      <c r="M303" s="4">
        <v>4</v>
      </c>
      <c r="N303" s="4" t="s">
        <v>358</v>
      </c>
      <c r="O303" s="4" t="s">
        <v>56</v>
      </c>
      <c r="P303" s="4"/>
    </row>
    <row r="304" spans="1:16" ht="14" customHeight="1">
      <c r="A304" s="3" t="s">
        <v>1292</v>
      </c>
      <c r="B304" s="3" t="s">
        <v>1257</v>
      </c>
      <c r="C304" s="3" t="s">
        <v>1281</v>
      </c>
      <c r="D304" s="3" t="s">
        <v>1135</v>
      </c>
      <c r="E304" s="3" t="s">
        <v>1293</v>
      </c>
      <c r="F304" s="3" t="s">
        <v>107</v>
      </c>
      <c r="G304" s="10">
        <v>379</v>
      </c>
      <c r="H304" s="10">
        <v>1530</v>
      </c>
      <c r="I304" s="11">
        <v>579868</v>
      </c>
      <c r="J304" s="8">
        <f t="shared" si="8"/>
        <v>579870</v>
      </c>
      <c r="K304" s="8">
        <f t="shared" si="9"/>
        <v>-2</v>
      </c>
      <c r="L304" s="3" t="s">
        <v>1294</v>
      </c>
      <c r="M304" s="3">
        <v>4</v>
      </c>
      <c r="N304" s="3" t="s">
        <v>358</v>
      </c>
      <c r="O304" s="3" t="s">
        <v>56</v>
      </c>
      <c r="P304" s="3" t="s">
        <v>1295</v>
      </c>
    </row>
    <row r="305" spans="1:16" ht="14" customHeight="1">
      <c r="A305" s="4" t="s">
        <v>1296</v>
      </c>
      <c r="B305" s="4" t="s">
        <v>1257</v>
      </c>
      <c r="C305" s="4" t="s">
        <v>1281</v>
      </c>
      <c r="D305" s="4" t="s">
        <v>1140</v>
      </c>
      <c r="E305" s="4" t="s">
        <v>1297</v>
      </c>
      <c r="F305" s="4" t="s">
        <v>107</v>
      </c>
      <c r="G305" s="12">
        <v>154</v>
      </c>
      <c r="H305" s="12">
        <v>2070</v>
      </c>
      <c r="I305" s="13">
        <v>318780</v>
      </c>
      <c r="J305" s="9">
        <f t="shared" si="8"/>
        <v>318780</v>
      </c>
      <c r="K305" s="9">
        <f t="shared" si="9"/>
        <v>0</v>
      </c>
      <c r="L305" s="4" t="s">
        <v>1298</v>
      </c>
      <c r="M305" s="4">
        <v>4</v>
      </c>
      <c r="N305" s="4" t="s">
        <v>358</v>
      </c>
      <c r="O305" s="4" t="s">
        <v>56</v>
      </c>
      <c r="P305" s="4"/>
    </row>
    <row r="306" spans="1:16" ht="14" customHeight="1">
      <c r="A306" s="3" t="s">
        <v>1299</v>
      </c>
      <c r="B306" s="3" t="s">
        <v>1257</v>
      </c>
      <c r="C306" s="3" t="s">
        <v>1281</v>
      </c>
      <c r="D306" s="3" t="s">
        <v>1143</v>
      </c>
      <c r="E306" s="3" t="s">
        <v>1300</v>
      </c>
      <c r="F306" s="3" t="s">
        <v>107</v>
      </c>
      <c r="G306" s="10">
        <v>27</v>
      </c>
      <c r="H306" s="10">
        <v>1500</v>
      </c>
      <c r="I306" s="11">
        <v>40500</v>
      </c>
      <c r="J306" s="8">
        <f t="shared" si="8"/>
        <v>40500</v>
      </c>
      <c r="K306" s="8">
        <f t="shared" si="9"/>
        <v>0</v>
      </c>
      <c r="L306" s="3" t="s">
        <v>1283</v>
      </c>
      <c r="M306" s="3">
        <v>4</v>
      </c>
      <c r="N306" s="3" t="s">
        <v>358</v>
      </c>
      <c r="O306" s="3" t="s">
        <v>56</v>
      </c>
      <c r="P306" s="3"/>
    </row>
    <row r="307" spans="1:16" ht="14" customHeight="1">
      <c r="A307" s="4" t="s">
        <v>1301</v>
      </c>
      <c r="B307" s="4" t="s">
        <v>1257</v>
      </c>
      <c r="C307" s="4" t="s">
        <v>1281</v>
      </c>
      <c r="D307" s="4" t="s">
        <v>1146</v>
      </c>
      <c r="E307" s="4" t="s">
        <v>1302</v>
      </c>
      <c r="F307" s="4" t="s">
        <v>107</v>
      </c>
      <c r="G307" s="12">
        <v>228</v>
      </c>
      <c r="H307" s="12">
        <v>1490</v>
      </c>
      <c r="I307" s="13">
        <v>339719</v>
      </c>
      <c r="J307" s="9">
        <f t="shared" si="8"/>
        <v>339720</v>
      </c>
      <c r="K307" s="9">
        <f t="shared" si="9"/>
        <v>-1</v>
      </c>
      <c r="L307" s="4" t="s">
        <v>1303</v>
      </c>
      <c r="M307" s="4">
        <v>4</v>
      </c>
      <c r="N307" s="4" t="s">
        <v>358</v>
      </c>
      <c r="O307" s="4" t="s">
        <v>56</v>
      </c>
      <c r="P307" s="4"/>
    </row>
    <row r="308" spans="1:16" ht="14" customHeight="1">
      <c r="A308" s="3" t="s">
        <v>1304</v>
      </c>
      <c r="B308" s="3" t="s">
        <v>1257</v>
      </c>
      <c r="C308" s="3" t="s">
        <v>1281</v>
      </c>
      <c r="D308" s="3" t="s">
        <v>1149</v>
      </c>
      <c r="E308" s="3" t="s">
        <v>1305</v>
      </c>
      <c r="F308" s="3" t="s">
        <v>107</v>
      </c>
      <c r="G308" s="10">
        <v>1765</v>
      </c>
      <c r="H308" s="10">
        <v>2060</v>
      </c>
      <c r="I308" s="11">
        <v>3635900</v>
      </c>
      <c r="J308" s="8">
        <f t="shared" si="8"/>
        <v>3635900</v>
      </c>
      <c r="K308" s="8">
        <f t="shared" si="9"/>
        <v>0</v>
      </c>
      <c r="L308" s="3" t="s">
        <v>1306</v>
      </c>
      <c r="M308" s="3">
        <v>4</v>
      </c>
      <c r="N308" s="3" t="s">
        <v>358</v>
      </c>
      <c r="O308" s="3" t="s">
        <v>56</v>
      </c>
      <c r="P308" s="3"/>
    </row>
    <row r="309" spans="1:16" ht="14" customHeight="1">
      <c r="A309" s="4" t="s">
        <v>1307</v>
      </c>
      <c r="B309" s="4" t="s">
        <v>1257</v>
      </c>
      <c r="C309" s="4" t="s">
        <v>1281</v>
      </c>
      <c r="D309" s="4" t="s">
        <v>1152</v>
      </c>
      <c r="E309" s="4" t="s">
        <v>1308</v>
      </c>
      <c r="F309" s="4" t="s">
        <v>107</v>
      </c>
      <c r="G309" s="12">
        <v>68</v>
      </c>
      <c r="H309" s="12">
        <v>1490</v>
      </c>
      <c r="I309" s="13">
        <v>101320</v>
      </c>
      <c r="J309" s="9">
        <f t="shared" si="8"/>
        <v>101320</v>
      </c>
      <c r="K309" s="9">
        <f t="shared" si="9"/>
        <v>0</v>
      </c>
      <c r="L309" s="4" t="s">
        <v>1303</v>
      </c>
      <c r="M309" s="4">
        <v>5</v>
      </c>
      <c r="N309" s="4" t="s">
        <v>358</v>
      </c>
      <c r="O309" s="4" t="s">
        <v>56</v>
      </c>
      <c r="P309" s="4"/>
    </row>
    <row r="310" spans="1:16" ht="14" customHeight="1">
      <c r="A310" s="3" t="s">
        <v>1309</v>
      </c>
      <c r="B310" s="3" t="s">
        <v>1257</v>
      </c>
      <c r="C310" s="3" t="s">
        <v>1281</v>
      </c>
      <c r="D310" s="3" t="s">
        <v>1156</v>
      </c>
      <c r="E310" s="3" t="s">
        <v>1310</v>
      </c>
      <c r="F310" s="3" t="s">
        <v>107</v>
      </c>
      <c r="G310" s="10">
        <v>49</v>
      </c>
      <c r="H310" s="10">
        <v>110</v>
      </c>
      <c r="I310" s="11">
        <v>5390</v>
      </c>
      <c r="J310" s="8">
        <f t="shared" si="8"/>
        <v>5390</v>
      </c>
      <c r="K310" s="8">
        <f t="shared" si="9"/>
        <v>0</v>
      </c>
      <c r="L310" s="3" t="s">
        <v>1311</v>
      </c>
      <c r="M310" s="3">
        <v>5</v>
      </c>
      <c r="N310" s="3" t="s">
        <v>358</v>
      </c>
      <c r="O310" s="3" t="s">
        <v>56</v>
      </c>
      <c r="P310" s="3"/>
    </row>
    <row r="311" spans="1:16" ht="14" customHeight="1">
      <c r="A311" s="4" t="s">
        <v>1312</v>
      </c>
      <c r="B311" s="4" t="s">
        <v>1257</v>
      </c>
      <c r="C311" s="4" t="s">
        <v>1281</v>
      </c>
      <c r="D311" s="4" t="s">
        <v>1159</v>
      </c>
      <c r="E311" s="4" t="s">
        <v>1313</v>
      </c>
      <c r="F311" s="4" t="s">
        <v>107</v>
      </c>
      <c r="G311" s="12">
        <v>29</v>
      </c>
      <c r="H311" s="12">
        <v>1640</v>
      </c>
      <c r="I311" s="13">
        <v>47560</v>
      </c>
      <c r="J311" s="9">
        <f t="shared" si="8"/>
        <v>47560</v>
      </c>
      <c r="K311" s="9">
        <f t="shared" si="9"/>
        <v>0</v>
      </c>
      <c r="L311" s="4" t="s">
        <v>1314</v>
      </c>
      <c r="M311" s="4">
        <v>5</v>
      </c>
      <c r="N311" s="4" t="s">
        <v>358</v>
      </c>
      <c r="O311" s="4" t="s">
        <v>56</v>
      </c>
      <c r="P311" s="4"/>
    </row>
    <row r="312" spans="1:16" ht="14" customHeight="1">
      <c r="A312" s="3" t="s">
        <v>1315</v>
      </c>
      <c r="B312" s="3" t="s">
        <v>1257</v>
      </c>
      <c r="C312" s="3" t="s">
        <v>1316</v>
      </c>
      <c r="D312" s="3" t="s">
        <v>1123</v>
      </c>
      <c r="E312" s="3" t="s">
        <v>1317</v>
      </c>
      <c r="F312" s="3" t="s">
        <v>107</v>
      </c>
      <c r="G312" s="10">
        <v>937</v>
      </c>
      <c r="H312" s="10">
        <v>570</v>
      </c>
      <c r="I312" s="11">
        <v>534090</v>
      </c>
      <c r="J312" s="8">
        <f t="shared" si="8"/>
        <v>534090</v>
      </c>
      <c r="K312" s="8">
        <f t="shared" si="9"/>
        <v>0</v>
      </c>
      <c r="L312" s="3"/>
      <c r="M312" s="3">
        <v>5</v>
      </c>
      <c r="N312" s="3" t="s">
        <v>358</v>
      </c>
      <c r="O312" s="3" t="s">
        <v>56</v>
      </c>
      <c r="P312" s="3"/>
    </row>
    <row r="313" spans="1:16" ht="14" customHeight="1">
      <c r="A313" s="4" t="s">
        <v>1318</v>
      </c>
      <c r="B313" s="4" t="s">
        <v>1257</v>
      </c>
      <c r="C313" s="4" t="s">
        <v>1316</v>
      </c>
      <c r="D313" s="4" t="s">
        <v>1126</v>
      </c>
      <c r="E313" s="4" t="s">
        <v>1319</v>
      </c>
      <c r="F313" s="4" t="s">
        <v>107</v>
      </c>
      <c r="G313" s="12">
        <v>177</v>
      </c>
      <c r="H313" s="12">
        <v>1140</v>
      </c>
      <c r="I313" s="13">
        <v>201780</v>
      </c>
      <c r="J313" s="9">
        <f t="shared" si="8"/>
        <v>201780</v>
      </c>
      <c r="K313" s="9">
        <f t="shared" si="9"/>
        <v>0</v>
      </c>
      <c r="L313" s="4"/>
      <c r="M313" s="4">
        <v>5</v>
      </c>
      <c r="N313" s="4" t="s">
        <v>358</v>
      </c>
      <c r="O313" s="4" t="s">
        <v>56</v>
      </c>
      <c r="P313" s="4"/>
    </row>
    <row r="314" spans="1:16" ht="14" customHeight="1">
      <c r="A314" s="3" t="s">
        <v>1320</v>
      </c>
      <c r="B314" s="3" t="s">
        <v>1257</v>
      </c>
      <c r="C314" s="3" t="s">
        <v>1321</v>
      </c>
      <c r="D314" s="3" t="s">
        <v>1123</v>
      </c>
      <c r="E314" s="3" t="s">
        <v>1322</v>
      </c>
      <c r="F314" s="3" t="s">
        <v>107</v>
      </c>
      <c r="G314" s="10">
        <v>1575</v>
      </c>
      <c r="H314" s="10">
        <v>1190</v>
      </c>
      <c r="I314" s="11">
        <v>1874250</v>
      </c>
      <c r="J314" s="8">
        <f t="shared" si="8"/>
        <v>1874250</v>
      </c>
      <c r="K314" s="8">
        <f t="shared" si="9"/>
        <v>0</v>
      </c>
      <c r="L314" s="3" t="s">
        <v>1323</v>
      </c>
      <c r="M314" s="3">
        <v>5</v>
      </c>
      <c r="N314" s="3" t="s">
        <v>358</v>
      </c>
      <c r="O314" s="3" t="s">
        <v>56</v>
      </c>
      <c r="P314" s="3"/>
    </row>
    <row r="315" spans="1:16" ht="14" customHeight="1">
      <c r="A315" s="4" t="s">
        <v>1324</v>
      </c>
      <c r="B315" s="4" t="s">
        <v>1257</v>
      </c>
      <c r="C315" s="4" t="s">
        <v>1321</v>
      </c>
      <c r="D315" s="4" t="s">
        <v>1126</v>
      </c>
      <c r="E315" s="4" t="s">
        <v>1325</v>
      </c>
      <c r="F315" s="4" t="s">
        <v>107</v>
      </c>
      <c r="G315" s="12">
        <v>3870</v>
      </c>
      <c r="H315" s="12">
        <v>770</v>
      </c>
      <c r="I315" s="13">
        <v>2979900</v>
      </c>
      <c r="J315" s="9">
        <f t="shared" si="8"/>
        <v>2979900</v>
      </c>
      <c r="K315" s="9">
        <f t="shared" si="9"/>
        <v>0</v>
      </c>
      <c r="L315" s="4"/>
      <c r="M315" s="4">
        <v>5</v>
      </c>
      <c r="N315" s="4" t="s">
        <v>358</v>
      </c>
      <c r="O315" s="4" t="s">
        <v>56</v>
      </c>
      <c r="P315" s="4"/>
    </row>
    <row r="316" spans="1:16" ht="14" customHeight="1">
      <c r="A316" s="3" t="s">
        <v>1326</v>
      </c>
      <c r="B316" s="3" t="s">
        <v>1257</v>
      </c>
      <c r="C316" s="3" t="s">
        <v>1321</v>
      </c>
      <c r="D316" s="3" t="s">
        <v>1129</v>
      </c>
      <c r="E316" s="3" t="s">
        <v>1327</v>
      </c>
      <c r="F316" s="3" t="s">
        <v>107</v>
      </c>
      <c r="G316" s="10">
        <v>2625</v>
      </c>
      <c r="H316" s="10">
        <v>140</v>
      </c>
      <c r="I316" s="11">
        <v>367500</v>
      </c>
      <c r="J316" s="8">
        <f t="shared" si="8"/>
        <v>367500</v>
      </c>
      <c r="K316" s="8">
        <f t="shared" si="9"/>
        <v>0</v>
      </c>
      <c r="L316" s="3"/>
      <c r="M316" s="3">
        <v>5</v>
      </c>
      <c r="N316" s="3" t="s">
        <v>358</v>
      </c>
      <c r="O316" s="3" t="s">
        <v>56</v>
      </c>
      <c r="P316" s="3"/>
    </row>
    <row r="317" spans="1:16" ht="14" customHeight="1">
      <c r="A317" s="4" t="s">
        <v>1328</v>
      </c>
      <c r="B317" s="4" t="s">
        <v>1257</v>
      </c>
      <c r="C317" s="4" t="s">
        <v>1321</v>
      </c>
      <c r="D317" s="4" t="s">
        <v>1132</v>
      </c>
      <c r="E317" s="4" t="s">
        <v>1329</v>
      </c>
      <c r="F317" s="4" t="s">
        <v>107</v>
      </c>
      <c r="G317" s="12">
        <v>165</v>
      </c>
      <c r="H317" s="12">
        <v>1500</v>
      </c>
      <c r="I317" s="13">
        <v>247500</v>
      </c>
      <c r="J317" s="9">
        <f t="shared" si="8"/>
        <v>247500</v>
      </c>
      <c r="K317" s="9">
        <f t="shared" si="9"/>
        <v>0</v>
      </c>
      <c r="L317" s="4" t="s">
        <v>1283</v>
      </c>
      <c r="M317" s="4">
        <v>5</v>
      </c>
      <c r="N317" s="4" t="s">
        <v>358</v>
      </c>
      <c r="O317" s="4" t="s">
        <v>56</v>
      </c>
      <c r="P317" s="4"/>
    </row>
    <row r="318" spans="1:16" ht="14" customHeight="1">
      <c r="A318" s="3" t="s">
        <v>1330</v>
      </c>
      <c r="B318" s="3" t="s">
        <v>1257</v>
      </c>
      <c r="C318" s="3" t="s">
        <v>1321</v>
      </c>
      <c r="D318" s="3" t="s">
        <v>1135</v>
      </c>
      <c r="E318" s="3" t="s">
        <v>1331</v>
      </c>
      <c r="F318" s="3" t="s">
        <v>107</v>
      </c>
      <c r="G318" s="10">
        <v>175</v>
      </c>
      <c r="H318" s="10">
        <v>960</v>
      </c>
      <c r="I318" s="11">
        <v>168000</v>
      </c>
      <c r="J318" s="8">
        <f t="shared" si="8"/>
        <v>168000</v>
      </c>
      <c r="K318" s="8">
        <f t="shared" si="9"/>
        <v>0</v>
      </c>
      <c r="L318" s="3" t="s">
        <v>1283</v>
      </c>
      <c r="M318" s="3">
        <v>5</v>
      </c>
      <c r="N318" s="3" t="s">
        <v>358</v>
      </c>
      <c r="O318" s="3" t="s">
        <v>56</v>
      </c>
      <c r="P318" s="3"/>
    </row>
    <row r="319" spans="1:16" ht="14" customHeight="1">
      <c r="A319" s="4" t="s">
        <v>1332</v>
      </c>
      <c r="B319" s="4" t="s">
        <v>1257</v>
      </c>
      <c r="C319" s="4" t="s">
        <v>1321</v>
      </c>
      <c r="D319" s="4" t="s">
        <v>1140</v>
      </c>
      <c r="E319" s="4" t="s">
        <v>1329</v>
      </c>
      <c r="F319" s="4" t="s">
        <v>107</v>
      </c>
      <c r="G319" s="12">
        <v>20</v>
      </c>
      <c r="H319" s="12">
        <v>1500</v>
      </c>
      <c r="I319" s="13">
        <v>30000</v>
      </c>
      <c r="J319" s="9">
        <f t="shared" si="8"/>
        <v>30000</v>
      </c>
      <c r="K319" s="9">
        <f t="shared" si="9"/>
        <v>0</v>
      </c>
      <c r="L319" s="4" t="s">
        <v>1283</v>
      </c>
      <c r="M319" s="4">
        <v>5</v>
      </c>
      <c r="N319" s="4" t="s">
        <v>358</v>
      </c>
      <c r="O319" s="4" t="s">
        <v>56</v>
      </c>
      <c r="P319" s="4"/>
    </row>
    <row r="320" spans="1:16" ht="14" customHeight="1">
      <c r="A320" s="3" t="s">
        <v>1333</v>
      </c>
      <c r="B320" s="3" t="s">
        <v>1257</v>
      </c>
      <c r="C320" s="3" t="s">
        <v>1321</v>
      </c>
      <c r="D320" s="3" t="s">
        <v>1143</v>
      </c>
      <c r="E320" s="3" t="s">
        <v>1331</v>
      </c>
      <c r="F320" s="3" t="s">
        <v>107</v>
      </c>
      <c r="G320" s="10">
        <v>7.9</v>
      </c>
      <c r="H320" s="10">
        <v>960</v>
      </c>
      <c r="I320" s="11">
        <v>7584</v>
      </c>
      <c r="J320" s="8">
        <f t="shared" si="8"/>
        <v>7584</v>
      </c>
      <c r="K320" s="8">
        <f t="shared" si="9"/>
        <v>0</v>
      </c>
      <c r="L320" s="3" t="s">
        <v>1283</v>
      </c>
      <c r="M320" s="3">
        <v>5</v>
      </c>
      <c r="N320" s="3" t="s">
        <v>358</v>
      </c>
      <c r="O320" s="3" t="s">
        <v>56</v>
      </c>
      <c r="P320" s="3"/>
    </row>
    <row r="321" spans="1:16" ht="14" customHeight="1">
      <c r="A321" s="4" t="s">
        <v>1334</v>
      </c>
      <c r="B321" s="4" t="s">
        <v>1257</v>
      </c>
      <c r="C321" s="4" t="s">
        <v>1335</v>
      </c>
      <c r="D321" s="4" t="s">
        <v>1123</v>
      </c>
      <c r="E321" s="4" t="s">
        <v>1336</v>
      </c>
      <c r="F321" s="4" t="s">
        <v>107</v>
      </c>
      <c r="G321" s="12">
        <v>2427</v>
      </c>
      <c r="H321" s="12">
        <v>1380</v>
      </c>
      <c r="I321" s="13">
        <v>3349263</v>
      </c>
      <c r="J321" s="9">
        <f t="shared" si="8"/>
        <v>3349260</v>
      </c>
      <c r="K321" s="9">
        <f t="shared" si="9"/>
        <v>3</v>
      </c>
      <c r="L321" s="4" t="s">
        <v>1337</v>
      </c>
      <c r="M321" s="4">
        <v>5</v>
      </c>
      <c r="N321" s="4" t="s">
        <v>358</v>
      </c>
      <c r="O321" s="4" t="s">
        <v>56</v>
      </c>
      <c r="P321" s="4" t="s">
        <v>1338</v>
      </c>
    </row>
    <row r="322" spans="1:16" ht="14" customHeight="1">
      <c r="A322" s="3" t="s">
        <v>1339</v>
      </c>
      <c r="B322" s="3" t="s">
        <v>1257</v>
      </c>
      <c r="C322" s="3" t="s">
        <v>1335</v>
      </c>
      <c r="D322" s="3" t="s">
        <v>1126</v>
      </c>
      <c r="E322" s="3" t="s">
        <v>1340</v>
      </c>
      <c r="F322" s="3" t="s">
        <v>107</v>
      </c>
      <c r="G322" s="10">
        <v>362</v>
      </c>
      <c r="H322" s="10">
        <v>7420</v>
      </c>
      <c r="I322" s="11">
        <v>2686040</v>
      </c>
      <c r="J322" s="8">
        <f t="shared" si="8"/>
        <v>2686040</v>
      </c>
      <c r="K322" s="8">
        <f t="shared" si="9"/>
        <v>0</v>
      </c>
      <c r="L322" s="3"/>
      <c r="M322" s="3">
        <v>5</v>
      </c>
      <c r="N322" s="3" t="s">
        <v>358</v>
      </c>
      <c r="O322" s="3" t="s">
        <v>56</v>
      </c>
      <c r="P322" s="3"/>
    </row>
    <row r="323" spans="1:16" ht="14" customHeight="1">
      <c r="A323" s="4" t="s">
        <v>1341</v>
      </c>
      <c r="B323" s="4" t="s">
        <v>1257</v>
      </c>
      <c r="C323" s="4" t="s">
        <v>1335</v>
      </c>
      <c r="D323" s="4" t="s">
        <v>1129</v>
      </c>
      <c r="E323" s="4" t="s">
        <v>1342</v>
      </c>
      <c r="F323" s="4" t="s">
        <v>107</v>
      </c>
      <c r="G323" s="12">
        <v>173</v>
      </c>
      <c r="H323" s="12">
        <v>9580</v>
      </c>
      <c r="I323" s="13">
        <v>1657340</v>
      </c>
      <c r="J323" s="9">
        <f t="shared" si="8"/>
        <v>1657340</v>
      </c>
      <c r="K323" s="9">
        <f t="shared" si="9"/>
        <v>0</v>
      </c>
      <c r="L323" s="4"/>
      <c r="M323" s="4">
        <v>5</v>
      </c>
      <c r="N323" s="4" t="s">
        <v>358</v>
      </c>
      <c r="O323" s="4" t="s">
        <v>56</v>
      </c>
      <c r="P323" s="4"/>
    </row>
    <row r="324" spans="1:16" ht="14" customHeight="1">
      <c r="A324" s="3" t="s">
        <v>1343</v>
      </c>
      <c r="B324" s="3" t="s">
        <v>1257</v>
      </c>
      <c r="C324" s="3" t="s">
        <v>1335</v>
      </c>
      <c r="D324" s="3" t="s">
        <v>1132</v>
      </c>
      <c r="E324" s="3" t="s">
        <v>1344</v>
      </c>
      <c r="F324" s="3" t="s">
        <v>107</v>
      </c>
      <c r="G324" s="10">
        <v>730</v>
      </c>
      <c r="H324" s="10">
        <v>1580</v>
      </c>
      <c r="I324" s="11">
        <v>1153400</v>
      </c>
      <c r="J324" s="8">
        <f t="shared" si="8"/>
        <v>1153400</v>
      </c>
      <c r="K324" s="8">
        <f t="shared" si="9"/>
        <v>0</v>
      </c>
      <c r="L324" s="3" t="s">
        <v>1345</v>
      </c>
      <c r="M324" s="3">
        <v>5</v>
      </c>
      <c r="N324" s="3" t="s">
        <v>358</v>
      </c>
      <c r="O324" s="3" t="s">
        <v>56</v>
      </c>
      <c r="P324" s="3"/>
    </row>
    <row r="325" spans="1:16" ht="14" customHeight="1">
      <c r="A325" s="4" t="s">
        <v>1346</v>
      </c>
      <c r="B325" s="4" t="s">
        <v>1257</v>
      </c>
      <c r="C325" s="4" t="s">
        <v>1335</v>
      </c>
      <c r="D325" s="4" t="s">
        <v>1135</v>
      </c>
      <c r="E325" s="4" t="s">
        <v>1347</v>
      </c>
      <c r="F325" s="4" t="s">
        <v>107</v>
      </c>
      <c r="G325" s="12">
        <v>21</v>
      </c>
      <c r="H325" s="12">
        <v>8450</v>
      </c>
      <c r="I325" s="13">
        <v>177450</v>
      </c>
      <c r="J325" s="9">
        <f t="shared" si="8"/>
        <v>177450</v>
      </c>
      <c r="K325" s="9">
        <f t="shared" si="9"/>
        <v>0</v>
      </c>
      <c r="L325" s="4"/>
      <c r="M325" s="4">
        <v>5</v>
      </c>
      <c r="N325" s="4" t="s">
        <v>358</v>
      </c>
      <c r="O325" s="4" t="s">
        <v>56</v>
      </c>
      <c r="P325" s="4"/>
    </row>
    <row r="326" spans="1:16" ht="14" customHeight="1">
      <c r="A326" s="3" t="s">
        <v>1348</v>
      </c>
      <c r="B326" s="3" t="s">
        <v>1257</v>
      </c>
      <c r="C326" s="3" t="s">
        <v>1335</v>
      </c>
      <c r="D326" s="3" t="s">
        <v>1140</v>
      </c>
      <c r="E326" s="3" t="s">
        <v>1349</v>
      </c>
      <c r="F326" s="3" t="s">
        <v>107</v>
      </c>
      <c r="G326" s="10">
        <v>247</v>
      </c>
      <c r="H326" s="10">
        <v>1970</v>
      </c>
      <c r="I326" s="11">
        <v>486590</v>
      </c>
      <c r="J326" s="8">
        <f t="shared" ref="J326:J389" si="10">IF(OR(G326="",H326=""),"",ROUND(G326*H326,0))</f>
        <v>486590</v>
      </c>
      <c r="K326" s="8">
        <f t="shared" ref="K326:K389" si="11">IF(OR(I326="",J326=""),"",I326-J326)</f>
        <v>0</v>
      </c>
      <c r="L326" s="3" t="s">
        <v>1350</v>
      </c>
      <c r="M326" s="3">
        <v>5</v>
      </c>
      <c r="N326" s="3" t="s">
        <v>358</v>
      </c>
      <c r="O326" s="3" t="s">
        <v>56</v>
      </c>
      <c r="P326" s="3"/>
    </row>
    <row r="327" spans="1:16" ht="14" customHeight="1">
      <c r="A327" s="4" t="s">
        <v>1351</v>
      </c>
      <c r="B327" s="4" t="s">
        <v>1257</v>
      </c>
      <c r="C327" s="4" t="s">
        <v>1335</v>
      </c>
      <c r="D327" s="4" t="s">
        <v>1143</v>
      </c>
      <c r="E327" s="4" t="s">
        <v>1352</v>
      </c>
      <c r="F327" s="4" t="s">
        <v>107</v>
      </c>
      <c r="G327" s="12">
        <v>1132</v>
      </c>
      <c r="H327" s="12">
        <v>1580</v>
      </c>
      <c r="I327" s="13">
        <v>1788560</v>
      </c>
      <c r="J327" s="9">
        <f t="shared" si="10"/>
        <v>1788560</v>
      </c>
      <c r="K327" s="9">
        <f t="shared" si="11"/>
        <v>0</v>
      </c>
      <c r="L327" s="4" t="s">
        <v>1345</v>
      </c>
      <c r="M327" s="4">
        <v>5</v>
      </c>
      <c r="N327" s="4" t="s">
        <v>358</v>
      </c>
      <c r="O327" s="4" t="s">
        <v>56</v>
      </c>
      <c r="P327" s="4"/>
    </row>
    <row r="328" spans="1:16" ht="14" customHeight="1">
      <c r="A328" s="3" t="s">
        <v>1353</v>
      </c>
      <c r="B328" s="3" t="s">
        <v>1257</v>
      </c>
      <c r="C328" s="3" t="s">
        <v>1335</v>
      </c>
      <c r="D328" s="3" t="s">
        <v>1146</v>
      </c>
      <c r="E328" s="3" t="s">
        <v>1354</v>
      </c>
      <c r="F328" s="3" t="s">
        <v>107</v>
      </c>
      <c r="G328" s="10">
        <v>271</v>
      </c>
      <c r="H328" s="10">
        <v>620</v>
      </c>
      <c r="I328" s="11">
        <v>168020</v>
      </c>
      <c r="J328" s="8">
        <f t="shared" si="10"/>
        <v>168020</v>
      </c>
      <c r="K328" s="8">
        <f t="shared" si="11"/>
        <v>0</v>
      </c>
      <c r="L328" s="3"/>
      <c r="M328" s="3">
        <v>5</v>
      </c>
      <c r="N328" s="3" t="s">
        <v>358</v>
      </c>
      <c r="O328" s="3" t="s">
        <v>56</v>
      </c>
      <c r="P328" s="3"/>
    </row>
    <row r="329" spans="1:16" ht="14" customHeight="1">
      <c r="A329" s="4" t="s">
        <v>1355</v>
      </c>
      <c r="B329" s="4" t="s">
        <v>1257</v>
      </c>
      <c r="C329" s="4" t="s">
        <v>1335</v>
      </c>
      <c r="D329" s="4" t="s">
        <v>1149</v>
      </c>
      <c r="E329" s="4" t="s">
        <v>1356</v>
      </c>
      <c r="F329" s="4" t="s">
        <v>107</v>
      </c>
      <c r="G329" s="12">
        <v>10</v>
      </c>
      <c r="H329" s="12">
        <v>7420</v>
      </c>
      <c r="I329" s="13">
        <v>74200</v>
      </c>
      <c r="J329" s="9">
        <f t="shared" si="10"/>
        <v>74200</v>
      </c>
      <c r="K329" s="9">
        <f t="shared" si="11"/>
        <v>0</v>
      </c>
      <c r="L329" s="4" t="s">
        <v>1357</v>
      </c>
      <c r="M329" s="4">
        <v>5</v>
      </c>
      <c r="N329" s="4" t="s">
        <v>358</v>
      </c>
      <c r="O329" s="4" t="s">
        <v>56</v>
      </c>
      <c r="P329" s="4"/>
    </row>
    <row r="330" spans="1:16" ht="14" customHeight="1">
      <c r="A330" s="3" t="s">
        <v>1358</v>
      </c>
      <c r="B330" s="3" t="s">
        <v>1257</v>
      </c>
      <c r="C330" s="3" t="s">
        <v>1335</v>
      </c>
      <c r="D330" s="3" t="s">
        <v>1152</v>
      </c>
      <c r="E330" s="3" t="s">
        <v>1359</v>
      </c>
      <c r="F330" s="3" t="s">
        <v>162</v>
      </c>
      <c r="G330" s="10">
        <v>162</v>
      </c>
      <c r="H330" s="10">
        <v>490</v>
      </c>
      <c r="I330" s="11">
        <v>79380</v>
      </c>
      <c r="J330" s="8">
        <f t="shared" si="10"/>
        <v>79380</v>
      </c>
      <c r="K330" s="8">
        <f t="shared" si="11"/>
        <v>0</v>
      </c>
      <c r="L330" s="3"/>
      <c r="M330" s="3">
        <v>5</v>
      </c>
      <c r="N330" s="3" t="s">
        <v>358</v>
      </c>
      <c r="O330" s="3" t="s">
        <v>56</v>
      </c>
      <c r="P330" s="3"/>
    </row>
    <row r="331" spans="1:16" ht="14" customHeight="1">
      <c r="A331" s="4" t="s">
        <v>1360</v>
      </c>
      <c r="B331" s="4" t="s">
        <v>1257</v>
      </c>
      <c r="C331" s="4" t="s">
        <v>1335</v>
      </c>
      <c r="D331" s="4" t="s">
        <v>1156</v>
      </c>
      <c r="E331" s="4" t="s">
        <v>1361</v>
      </c>
      <c r="F331" s="4" t="s">
        <v>162</v>
      </c>
      <c r="G331" s="12">
        <v>6.3</v>
      </c>
      <c r="H331" s="12">
        <v>2580</v>
      </c>
      <c r="I331" s="13">
        <v>16254</v>
      </c>
      <c r="J331" s="9">
        <f t="shared" si="10"/>
        <v>16254</v>
      </c>
      <c r="K331" s="9">
        <f t="shared" si="11"/>
        <v>0</v>
      </c>
      <c r="L331" s="4"/>
      <c r="M331" s="4">
        <v>5</v>
      </c>
      <c r="N331" s="4" t="s">
        <v>358</v>
      </c>
      <c r="O331" s="4" t="s">
        <v>56</v>
      </c>
      <c r="P331" s="4"/>
    </row>
    <row r="332" spans="1:16" ht="14" customHeight="1">
      <c r="A332" s="3" t="s">
        <v>1362</v>
      </c>
      <c r="B332" s="3" t="s">
        <v>1257</v>
      </c>
      <c r="C332" s="3" t="s">
        <v>1335</v>
      </c>
      <c r="D332" s="3" t="s">
        <v>1159</v>
      </c>
      <c r="E332" s="3" t="s">
        <v>1363</v>
      </c>
      <c r="F332" s="3" t="s">
        <v>107</v>
      </c>
      <c r="G332" s="10">
        <v>3.8</v>
      </c>
      <c r="H332" s="10">
        <v>50900</v>
      </c>
      <c r="I332" s="11">
        <v>193420</v>
      </c>
      <c r="J332" s="8">
        <f t="shared" si="10"/>
        <v>193420</v>
      </c>
      <c r="K332" s="8">
        <f t="shared" si="11"/>
        <v>0</v>
      </c>
      <c r="L332" s="3" t="s">
        <v>1364</v>
      </c>
      <c r="M332" s="3">
        <v>5</v>
      </c>
      <c r="N332" s="3" t="s">
        <v>358</v>
      </c>
      <c r="O332" s="3" t="s">
        <v>56</v>
      </c>
      <c r="P332" s="3"/>
    </row>
    <row r="333" spans="1:16" ht="14" customHeight="1">
      <c r="A333" s="4" t="s">
        <v>1365</v>
      </c>
      <c r="B333" s="4" t="s">
        <v>58</v>
      </c>
      <c r="C333" s="4"/>
      <c r="D333" s="4" t="s">
        <v>1123</v>
      </c>
      <c r="E333" s="4" t="s">
        <v>1366</v>
      </c>
      <c r="F333" s="4" t="s">
        <v>166</v>
      </c>
      <c r="G333" s="12">
        <v>5</v>
      </c>
      <c r="H333" s="12">
        <v>45700</v>
      </c>
      <c r="I333" s="13">
        <v>228500</v>
      </c>
      <c r="J333" s="9">
        <f t="shared" si="10"/>
        <v>228500</v>
      </c>
      <c r="K333" s="9">
        <f t="shared" si="11"/>
        <v>0</v>
      </c>
      <c r="L333" s="4" t="s">
        <v>1367</v>
      </c>
      <c r="M333" s="4">
        <v>6</v>
      </c>
      <c r="N333" s="4" t="s">
        <v>358</v>
      </c>
      <c r="O333" s="4" t="s">
        <v>58</v>
      </c>
      <c r="P333" s="4"/>
    </row>
    <row r="334" spans="1:16" ht="14" customHeight="1">
      <c r="A334" s="3" t="s">
        <v>1368</v>
      </c>
      <c r="B334" s="3" t="s">
        <v>58</v>
      </c>
      <c r="C334" s="3"/>
      <c r="D334" s="3" t="s">
        <v>1126</v>
      </c>
      <c r="E334" s="3" t="s">
        <v>1369</v>
      </c>
      <c r="F334" s="3" t="s">
        <v>166</v>
      </c>
      <c r="G334" s="10">
        <v>7</v>
      </c>
      <c r="H334" s="10">
        <v>66700</v>
      </c>
      <c r="I334" s="11">
        <v>466900</v>
      </c>
      <c r="J334" s="8">
        <f t="shared" si="10"/>
        <v>466900</v>
      </c>
      <c r="K334" s="8">
        <f t="shared" si="11"/>
        <v>0</v>
      </c>
      <c r="L334" s="3" t="s">
        <v>1367</v>
      </c>
      <c r="M334" s="3">
        <v>6</v>
      </c>
      <c r="N334" s="3" t="s">
        <v>358</v>
      </c>
      <c r="O334" s="3" t="s">
        <v>58</v>
      </c>
      <c r="P334" s="3"/>
    </row>
    <row r="335" spans="1:16" ht="14" customHeight="1">
      <c r="A335" s="4" t="s">
        <v>1370</v>
      </c>
      <c r="B335" s="4" t="s">
        <v>58</v>
      </c>
      <c r="C335" s="4"/>
      <c r="D335" s="4" t="s">
        <v>1129</v>
      </c>
      <c r="E335" s="4" t="s">
        <v>1371</v>
      </c>
      <c r="F335" s="4" t="s">
        <v>166</v>
      </c>
      <c r="G335" s="12">
        <v>4</v>
      </c>
      <c r="H335" s="12">
        <v>16800</v>
      </c>
      <c r="I335" s="13">
        <v>67200</v>
      </c>
      <c r="J335" s="9">
        <f t="shared" si="10"/>
        <v>67200</v>
      </c>
      <c r="K335" s="9">
        <f t="shared" si="11"/>
        <v>0</v>
      </c>
      <c r="L335" s="4"/>
      <c r="M335" s="4">
        <v>6</v>
      </c>
      <c r="N335" s="4" t="s">
        <v>358</v>
      </c>
      <c r="O335" s="4" t="s">
        <v>58</v>
      </c>
      <c r="P335" s="4"/>
    </row>
    <row r="336" spans="1:16" ht="14" customHeight="1">
      <c r="A336" s="3" t="s">
        <v>1372</v>
      </c>
      <c r="B336" s="3" t="s">
        <v>58</v>
      </c>
      <c r="C336" s="3"/>
      <c r="D336" s="3" t="s">
        <v>1132</v>
      </c>
      <c r="E336" s="3" t="s">
        <v>1373</v>
      </c>
      <c r="F336" s="3" t="s">
        <v>166</v>
      </c>
      <c r="G336" s="10">
        <v>6</v>
      </c>
      <c r="H336" s="10">
        <v>16800</v>
      </c>
      <c r="I336" s="11">
        <v>100800</v>
      </c>
      <c r="J336" s="8">
        <f t="shared" si="10"/>
        <v>100800</v>
      </c>
      <c r="K336" s="8">
        <f t="shared" si="11"/>
        <v>0</v>
      </c>
      <c r="L336" s="3"/>
      <c r="M336" s="3">
        <v>6</v>
      </c>
      <c r="N336" s="3" t="s">
        <v>358</v>
      </c>
      <c r="O336" s="3" t="s">
        <v>58</v>
      </c>
      <c r="P336" s="3"/>
    </row>
    <row r="337" spans="1:16" ht="14" customHeight="1">
      <c r="A337" s="4" t="s">
        <v>1374</v>
      </c>
      <c r="B337" s="4" t="s">
        <v>58</v>
      </c>
      <c r="C337" s="4"/>
      <c r="D337" s="4" t="s">
        <v>1135</v>
      </c>
      <c r="E337" s="4" t="s">
        <v>1375</v>
      </c>
      <c r="F337" s="4" t="s">
        <v>166</v>
      </c>
      <c r="G337" s="12">
        <v>6</v>
      </c>
      <c r="H337" s="12">
        <v>24300</v>
      </c>
      <c r="I337" s="13">
        <v>145800</v>
      </c>
      <c r="J337" s="9">
        <f t="shared" si="10"/>
        <v>145800</v>
      </c>
      <c r="K337" s="9">
        <f t="shared" si="11"/>
        <v>0</v>
      </c>
      <c r="L337" s="4"/>
      <c r="M337" s="4">
        <v>6</v>
      </c>
      <c r="N337" s="4" t="s">
        <v>358</v>
      </c>
      <c r="O337" s="4" t="s">
        <v>58</v>
      </c>
      <c r="P337" s="4"/>
    </row>
    <row r="338" spans="1:16" ht="14" customHeight="1">
      <c r="A338" s="3" t="s">
        <v>1376</v>
      </c>
      <c r="B338" s="3" t="s">
        <v>58</v>
      </c>
      <c r="C338" s="3"/>
      <c r="D338" s="3" t="s">
        <v>1140</v>
      </c>
      <c r="E338" s="3" t="s">
        <v>1377</v>
      </c>
      <c r="F338" s="3" t="s">
        <v>166</v>
      </c>
      <c r="G338" s="10">
        <v>3</v>
      </c>
      <c r="H338" s="10">
        <v>34600</v>
      </c>
      <c r="I338" s="11">
        <v>103800</v>
      </c>
      <c r="J338" s="8">
        <f t="shared" si="10"/>
        <v>103800</v>
      </c>
      <c r="K338" s="8">
        <f t="shared" si="11"/>
        <v>0</v>
      </c>
      <c r="L338" s="3" t="s">
        <v>1378</v>
      </c>
      <c r="M338" s="3">
        <v>6</v>
      </c>
      <c r="N338" s="3" t="s">
        <v>358</v>
      </c>
      <c r="O338" s="3" t="s">
        <v>58</v>
      </c>
      <c r="P338" s="3"/>
    </row>
    <row r="339" spans="1:16" ht="14" customHeight="1">
      <c r="A339" s="4" t="s">
        <v>1379</v>
      </c>
      <c r="B339" s="4" t="s">
        <v>58</v>
      </c>
      <c r="C339" s="4"/>
      <c r="D339" s="4" t="s">
        <v>1143</v>
      </c>
      <c r="E339" s="4" t="s">
        <v>1380</v>
      </c>
      <c r="F339" s="4" t="s">
        <v>166</v>
      </c>
      <c r="G339" s="12">
        <v>2</v>
      </c>
      <c r="H339" s="12">
        <v>34500</v>
      </c>
      <c r="I339" s="13">
        <v>69000</v>
      </c>
      <c r="J339" s="9">
        <f t="shared" si="10"/>
        <v>69000</v>
      </c>
      <c r="K339" s="9">
        <f t="shared" si="11"/>
        <v>0</v>
      </c>
      <c r="L339" s="4" t="s">
        <v>1381</v>
      </c>
      <c r="M339" s="4">
        <v>6</v>
      </c>
      <c r="N339" s="4" t="s">
        <v>358</v>
      </c>
      <c r="O339" s="4" t="s">
        <v>58</v>
      </c>
      <c r="P339" s="4"/>
    </row>
    <row r="340" spans="1:16" ht="14" customHeight="1">
      <c r="A340" s="3" t="s">
        <v>1382</v>
      </c>
      <c r="B340" s="3" t="s">
        <v>58</v>
      </c>
      <c r="C340" s="3"/>
      <c r="D340" s="3" t="s">
        <v>1146</v>
      </c>
      <c r="E340" s="3" t="s">
        <v>1383</v>
      </c>
      <c r="F340" s="3" t="s">
        <v>166</v>
      </c>
      <c r="G340" s="10">
        <v>4</v>
      </c>
      <c r="H340" s="10">
        <v>24200</v>
      </c>
      <c r="I340" s="11">
        <v>96800</v>
      </c>
      <c r="J340" s="8">
        <f t="shared" si="10"/>
        <v>96800</v>
      </c>
      <c r="K340" s="8">
        <f t="shared" si="11"/>
        <v>0</v>
      </c>
      <c r="L340" s="3"/>
      <c r="M340" s="3">
        <v>6</v>
      </c>
      <c r="N340" s="3" t="s">
        <v>358</v>
      </c>
      <c r="O340" s="3" t="s">
        <v>58</v>
      </c>
      <c r="P340" s="3"/>
    </row>
    <row r="341" spans="1:16" ht="14" customHeight="1">
      <c r="A341" s="4" t="s">
        <v>1384</v>
      </c>
      <c r="B341" s="4" t="s">
        <v>58</v>
      </c>
      <c r="C341" s="4"/>
      <c r="D341" s="4" t="s">
        <v>1149</v>
      </c>
      <c r="E341" s="4" t="s">
        <v>1385</v>
      </c>
      <c r="F341" s="4" t="s">
        <v>166</v>
      </c>
      <c r="G341" s="12">
        <v>1</v>
      </c>
      <c r="H341" s="12">
        <v>504700</v>
      </c>
      <c r="I341" s="13">
        <v>504700</v>
      </c>
      <c r="J341" s="9">
        <f t="shared" si="10"/>
        <v>504700</v>
      </c>
      <c r="K341" s="9">
        <f t="shared" si="11"/>
        <v>0</v>
      </c>
      <c r="L341" s="4" t="s">
        <v>1386</v>
      </c>
      <c r="M341" s="4">
        <v>6</v>
      </c>
      <c r="N341" s="4" t="s">
        <v>358</v>
      </c>
      <c r="O341" s="4" t="s">
        <v>58</v>
      </c>
      <c r="P341" s="4"/>
    </row>
    <row r="342" spans="1:16" ht="14" customHeight="1">
      <c r="A342" s="3" t="s">
        <v>1387</v>
      </c>
      <c r="B342" s="3" t="s">
        <v>58</v>
      </c>
      <c r="C342" s="3"/>
      <c r="D342" s="3" t="s">
        <v>1152</v>
      </c>
      <c r="E342" s="3" t="s">
        <v>1388</v>
      </c>
      <c r="F342" s="3" t="s">
        <v>166</v>
      </c>
      <c r="G342" s="10">
        <v>2</v>
      </c>
      <c r="H342" s="10">
        <v>18200</v>
      </c>
      <c r="I342" s="11">
        <v>36400</v>
      </c>
      <c r="J342" s="8">
        <f t="shared" si="10"/>
        <v>36400</v>
      </c>
      <c r="K342" s="8">
        <f t="shared" si="11"/>
        <v>0</v>
      </c>
      <c r="L342" s="3" t="s">
        <v>1389</v>
      </c>
      <c r="M342" s="3">
        <v>6</v>
      </c>
      <c r="N342" s="3" t="s">
        <v>358</v>
      </c>
      <c r="O342" s="3" t="s">
        <v>58</v>
      </c>
      <c r="P342" s="3"/>
    </row>
    <row r="343" spans="1:16" ht="14" customHeight="1">
      <c r="A343" s="4" t="s">
        <v>1390</v>
      </c>
      <c r="B343" s="4" t="s">
        <v>58</v>
      </c>
      <c r="C343" s="4"/>
      <c r="D343" s="4" t="s">
        <v>1156</v>
      </c>
      <c r="E343" s="4" t="s">
        <v>1391</v>
      </c>
      <c r="F343" s="4" t="s">
        <v>166</v>
      </c>
      <c r="G343" s="12">
        <v>1</v>
      </c>
      <c r="H343" s="12">
        <v>51400</v>
      </c>
      <c r="I343" s="13">
        <v>51400</v>
      </c>
      <c r="J343" s="9">
        <f t="shared" si="10"/>
        <v>51400</v>
      </c>
      <c r="K343" s="9">
        <f t="shared" si="11"/>
        <v>0</v>
      </c>
      <c r="L343" s="4" t="s">
        <v>1381</v>
      </c>
      <c r="M343" s="4">
        <v>6</v>
      </c>
      <c r="N343" s="4" t="s">
        <v>358</v>
      </c>
      <c r="O343" s="4" t="s">
        <v>58</v>
      </c>
      <c r="P343" s="4"/>
    </row>
    <row r="344" spans="1:16" ht="14" customHeight="1">
      <c r="A344" s="3" t="s">
        <v>1392</v>
      </c>
      <c r="B344" s="3" t="s">
        <v>58</v>
      </c>
      <c r="C344" s="3"/>
      <c r="D344" s="3" t="s">
        <v>1159</v>
      </c>
      <c r="E344" s="3" t="s">
        <v>1393</v>
      </c>
      <c r="F344" s="3" t="s">
        <v>166</v>
      </c>
      <c r="G344" s="10">
        <v>2</v>
      </c>
      <c r="H344" s="10">
        <v>41100</v>
      </c>
      <c r="I344" s="11">
        <v>82200</v>
      </c>
      <c r="J344" s="8">
        <f t="shared" si="10"/>
        <v>82200</v>
      </c>
      <c r="K344" s="8">
        <f t="shared" si="11"/>
        <v>0</v>
      </c>
      <c r="L344" s="3"/>
      <c r="M344" s="3">
        <v>6</v>
      </c>
      <c r="N344" s="3" t="s">
        <v>358</v>
      </c>
      <c r="O344" s="3" t="s">
        <v>58</v>
      </c>
      <c r="P344" s="3"/>
    </row>
    <row r="345" spans="1:16" ht="14" customHeight="1">
      <c r="A345" s="4" t="s">
        <v>1394</v>
      </c>
      <c r="B345" s="4" t="s">
        <v>58</v>
      </c>
      <c r="C345" s="4"/>
      <c r="D345" s="4" t="s">
        <v>1162</v>
      </c>
      <c r="E345" s="4" t="s">
        <v>1395</v>
      </c>
      <c r="F345" s="4" t="s">
        <v>166</v>
      </c>
      <c r="G345" s="12">
        <v>1</v>
      </c>
      <c r="H345" s="12">
        <v>51400</v>
      </c>
      <c r="I345" s="13">
        <v>51400</v>
      </c>
      <c r="J345" s="9">
        <f t="shared" si="10"/>
        <v>51400</v>
      </c>
      <c r="K345" s="9">
        <f t="shared" si="11"/>
        <v>0</v>
      </c>
      <c r="L345" s="4" t="s">
        <v>1378</v>
      </c>
      <c r="M345" s="4">
        <v>6</v>
      </c>
      <c r="N345" s="4" t="s">
        <v>358</v>
      </c>
      <c r="O345" s="4" t="s">
        <v>58</v>
      </c>
      <c r="P345" s="4"/>
    </row>
    <row r="346" spans="1:16" ht="14" customHeight="1">
      <c r="A346" s="3" t="s">
        <v>1396</v>
      </c>
      <c r="B346" s="3" t="s">
        <v>58</v>
      </c>
      <c r="C346" s="3"/>
      <c r="D346" s="3" t="s">
        <v>1165</v>
      </c>
      <c r="E346" s="3" t="s">
        <v>1397</v>
      </c>
      <c r="F346" s="3" t="s">
        <v>166</v>
      </c>
      <c r="G346" s="10">
        <v>1</v>
      </c>
      <c r="H346" s="10">
        <v>45400</v>
      </c>
      <c r="I346" s="11">
        <v>45400</v>
      </c>
      <c r="J346" s="8">
        <f t="shared" si="10"/>
        <v>45400</v>
      </c>
      <c r="K346" s="8">
        <f t="shared" si="11"/>
        <v>0</v>
      </c>
      <c r="L346" s="3"/>
      <c r="M346" s="3">
        <v>6</v>
      </c>
      <c r="N346" s="3" t="s">
        <v>358</v>
      </c>
      <c r="O346" s="3" t="s">
        <v>58</v>
      </c>
      <c r="P346" s="3"/>
    </row>
    <row r="347" spans="1:16" ht="14" customHeight="1">
      <c r="A347" s="4" t="s">
        <v>1398</v>
      </c>
      <c r="B347" s="4" t="s">
        <v>58</v>
      </c>
      <c r="C347" s="4"/>
      <c r="D347" s="4" t="s">
        <v>1168</v>
      </c>
      <c r="E347" s="4" t="s">
        <v>1399</v>
      </c>
      <c r="F347" s="4" t="s">
        <v>166</v>
      </c>
      <c r="G347" s="12">
        <v>1</v>
      </c>
      <c r="H347" s="12">
        <v>229700</v>
      </c>
      <c r="I347" s="13">
        <v>229700</v>
      </c>
      <c r="J347" s="9">
        <f t="shared" si="10"/>
        <v>229700</v>
      </c>
      <c r="K347" s="9">
        <f t="shared" si="11"/>
        <v>0</v>
      </c>
      <c r="L347" s="4"/>
      <c r="M347" s="4">
        <v>6</v>
      </c>
      <c r="N347" s="4" t="s">
        <v>358</v>
      </c>
      <c r="O347" s="4" t="s">
        <v>58</v>
      </c>
      <c r="P347" s="4"/>
    </row>
    <row r="348" spans="1:16" ht="14" customHeight="1">
      <c r="A348" s="3" t="s">
        <v>1400</v>
      </c>
      <c r="B348" s="3" t="s">
        <v>58</v>
      </c>
      <c r="C348" s="3"/>
      <c r="D348" s="3" t="s">
        <v>1171</v>
      </c>
      <c r="E348" s="3" t="s">
        <v>1401</v>
      </c>
      <c r="F348" s="3" t="s">
        <v>166</v>
      </c>
      <c r="G348" s="10">
        <v>5</v>
      </c>
      <c r="H348" s="10">
        <v>21400</v>
      </c>
      <c r="I348" s="11">
        <v>107000</v>
      </c>
      <c r="J348" s="8">
        <f t="shared" si="10"/>
        <v>107000</v>
      </c>
      <c r="K348" s="8">
        <f t="shared" si="11"/>
        <v>0</v>
      </c>
      <c r="L348" s="3"/>
      <c r="M348" s="3">
        <v>6</v>
      </c>
      <c r="N348" s="3" t="s">
        <v>358</v>
      </c>
      <c r="O348" s="3" t="s">
        <v>58</v>
      </c>
      <c r="P348" s="3"/>
    </row>
    <row r="349" spans="1:16" ht="14" customHeight="1">
      <c r="A349" s="4" t="s">
        <v>1402</v>
      </c>
      <c r="B349" s="4" t="s">
        <v>58</v>
      </c>
      <c r="C349" s="4"/>
      <c r="D349" s="4" t="s">
        <v>1175</v>
      </c>
      <c r="E349" s="4" t="s">
        <v>1403</v>
      </c>
      <c r="F349" s="4" t="s">
        <v>166</v>
      </c>
      <c r="G349" s="12">
        <v>1</v>
      </c>
      <c r="H349" s="12">
        <v>22000</v>
      </c>
      <c r="I349" s="13">
        <v>22000</v>
      </c>
      <c r="J349" s="9">
        <f t="shared" si="10"/>
        <v>22000</v>
      </c>
      <c r="K349" s="9">
        <f t="shared" si="11"/>
        <v>0</v>
      </c>
      <c r="L349" s="4" t="s">
        <v>1404</v>
      </c>
      <c r="M349" s="4">
        <v>6</v>
      </c>
      <c r="N349" s="4" t="s">
        <v>358</v>
      </c>
      <c r="O349" s="4" t="s">
        <v>58</v>
      </c>
      <c r="P349" s="4"/>
    </row>
    <row r="350" spans="1:16" ht="14" customHeight="1">
      <c r="A350" s="3" t="s">
        <v>1405</v>
      </c>
      <c r="B350" s="3" t="s">
        <v>58</v>
      </c>
      <c r="C350" s="3"/>
      <c r="D350" s="3" t="s">
        <v>1178</v>
      </c>
      <c r="E350" s="3" t="s">
        <v>1406</v>
      </c>
      <c r="F350" s="3" t="s">
        <v>166</v>
      </c>
      <c r="G350" s="10">
        <v>4</v>
      </c>
      <c r="H350" s="10">
        <v>16800</v>
      </c>
      <c r="I350" s="11">
        <v>67200</v>
      </c>
      <c r="J350" s="8">
        <f t="shared" si="10"/>
        <v>67200</v>
      </c>
      <c r="K350" s="8">
        <f t="shared" si="11"/>
        <v>0</v>
      </c>
      <c r="L350" s="3"/>
      <c r="M350" s="3">
        <v>6</v>
      </c>
      <c r="N350" s="3" t="s">
        <v>358</v>
      </c>
      <c r="O350" s="3" t="s">
        <v>58</v>
      </c>
      <c r="P350" s="3"/>
    </row>
    <row r="351" spans="1:16" ht="14" customHeight="1">
      <c r="A351" s="4" t="s">
        <v>1407</v>
      </c>
      <c r="B351" s="4" t="s">
        <v>58</v>
      </c>
      <c r="C351" s="4"/>
      <c r="D351" s="4" t="s">
        <v>1408</v>
      </c>
      <c r="E351" s="4" t="s">
        <v>1409</v>
      </c>
      <c r="F351" s="4" t="s">
        <v>166</v>
      </c>
      <c r="G351" s="12">
        <v>1</v>
      </c>
      <c r="H351" s="12">
        <v>64300</v>
      </c>
      <c r="I351" s="13">
        <v>64300</v>
      </c>
      <c r="J351" s="9">
        <f t="shared" si="10"/>
        <v>64300</v>
      </c>
      <c r="K351" s="9">
        <f t="shared" si="11"/>
        <v>0</v>
      </c>
      <c r="L351" s="4" t="s">
        <v>1410</v>
      </c>
      <c r="M351" s="4">
        <v>6</v>
      </c>
      <c r="N351" s="4" t="s">
        <v>358</v>
      </c>
      <c r="O351" s="4" t="s">
        <v>58</v>
      </c>
      <c r="P351" s="4"/>
    </row>
    <row r="352" spans="1:16" ht="14" customHeight="1">
      <c r="A352" s="3" t="s">
        <v>1411</v>
      </c>
      <c r="B352" s="3" t="s">
        <v>58</v>
      </c>
      <c r="C352" s="3"/>
      <c r="D352" s="3" t="s">
        <v>1412</v>
      </c>
      <c r="E352" s="3" t="s">
        <v>1413</v>
      </c>
      <c r="F352" s="3" t="s">
        <v>166</v>
      </c>
      <c r="G352" s="10">
        <v>9</v>
      </c>
      <c r="H352" s="10">
        <v>34600</v>
      </c>
      <c r="I352" s="11">
        <v>311400</v>
      </c>
      <c r="J352" s="8">
        <f t="shared" si="10"/>
        <v>311400</v>
      </c>
      <c r="K352" s="8">
        <f t="shared" si="11"/>
        <v>0</v>
      </c>
      <c r="L352" s="3" t="s">
        <v>1414</v>
      </c>
      <c r="M352" s="3">
        <v>6</v>
      </c>
      <c r="N352" s="3" t="s">
        <v>358</v>
      </c>
      <c r="O352" s="3" t="s">
        <v>58</v>
      </c>
      <c r="P352" s="3"/>
    </row>
    <row r="353" spans="1:16" ht="14" customHeight="1">
      <c r="A353" s="4" t="s">
        <v>1415</v>
      </c>
      <c r="B353" s="4" t="s">
        <v>58</v>
      </c>
      <c r="C353" s="4"/>
      <c r="D353" s="4" t="s">
        <v>1416</v>
      </c>
      <c r="E353" s="4" t="s">
        <v>1417</v>
      </c>
      <c r="F353" s="4" t="s">
        <v>166</v>
      </c>
      <c r="G353" s="12">
        <v>3</v>
      </c>
      <c r="H353" s="12">
        <v>29500</v>
      </c>
      <c r="I353" s="13">
        <v>88500</v>
      </c>
      <c r="J353" s="9">
        <f t="shared" si="10"/>
        <v>88500</v>
      </c>
      <c r="K353" s="9">
        <f t="shared" si="11"/>
        <v>0</v>
      </c>
      <c r="L353" s="4" t="s">
        <v>1410</v>
      </c>
      <c r="M353" s="4">
        <v>6</v>
      </c>
      <c r="N353" s="4" t="s">
        <v>358</v>
      </c>
      <c r="O353" s="4" t="s">
        <v>58</v>
      </c>
      <c r="P353" s="4"/>
    </row>
    <row r="354" spans="1:16" ht="14" customHeight="1">
      <c r="A354" s="3" t="s">
        <v>1418</v>
      </c>
      <c r="B354" s="3" t="s">
        <v>58</v>
      </c>
      <c r="C354" s="3"/>
      <c r="D354" s="3" t="s">
        <v>1419</v>
      </c>
      <c r="E354" s="3" t="s">
        <v>1420</v>
      </c>
      <c r="F354" s="3" t="s">
        <v>166</v>
      </c>
      <c r="G354" s="10">
        <v>1</v>
      </c>
      <c r="H354" s="10">
        <v>58800</v>
      </c>
      <c r="I354" s="11">
        <v>58800</v>
      </c>
      <c r="J354" s="8">
        <f t="shared" si="10"/>
        <v>58800</v>
      </c>
      <c r="K354" s="8">
        <f t="shared" si="11"/>
        <v>0</v>
      </c>
      <c r="L354" s="3" t="s">
        <v>1421</v>
      </c>
      <c r="M354" s="3">
        <v>6</v>
      </c>
      <c r="N354" s="3" t="s">
        <v>358</v>
      </c>
      <c r="O354" s="3" t="s">
        <v>58</v>
      </c>
      <c r="P354" s="3"/>
    </row>
    <row r="355" spans="1:16" ht="14" customHeight="1">
      <c r="A355" s="4" t="s">
        <v>1422</v>
      </c>
      <c r="B355" s="4" t="s">
        <v>58</v>
      </c>
      <c r="C355" s="4"/>
      <c r="D355" s="4" t="s">
        <v>1423</v>
      </c>
      <c r="E355" s="4" t="s">
        <v>1424</v>
      </c>
      <c r="F355" s="4" t="s">
        <v>166</v>
      </c>
      <c r="G355" s="12">
        <v>2</v>
      </c>
      <c r="H355" s="12">
        <v>29400</v>
      </c>
      <c r="I355" s="13">
        <v>58800</v>
      </c>
      <c r="J355" s="9">
        <f t="shared" si="10"/>
        <v>58800</v>
      </c>
      <c r="K355" s="9">
        <f t="shared" si="11"/>
        <v>0</v>
      </c>
      <c r="L355" s="4" t="s">
        <v>1421</v>
      </c>
      <c r="M355" s="4">
        <v>6</v>
      </c>
      <c r="N355" s="4" t="s">
        <v>358</v>
      </c>
      <c r="O355" s="4" t="s">
        <v>58</v>
      </c>
      <c r="P355" s="4"/>
    </row>
    <row r="356" spans="1:16" ht="14" customHeight="1">
      <c r="A356" s="3" t="s">
        <v>1425</v>
      </c>
      <c r="B356" s="3" t="s">
        <v>58</v>
      </c>
      <c r="C356" s="3"/>
      <c r="D356" s="3" t="s">
        <v>1426</v>
      </c>
      <c r="E356" s="3" t="s">
        <v>1427</v>
      </c>
      <c r="F356" s="3" t="s">
        <v>166</v>
      </c>
      <c r="G356" s="10">
        <v>1</v>
      </c>
      <c r="H356" s="10">
        <v>58900</v>
      </c>
      <c r="I356" s="11">
        <v>58900</v>
      </c>
      <c r="J356" s="8">
        <f t="shared" si="10"/>
        <v>58900</v>
      </c>
      <c r="K356" s="8">
        <f t="shared" si="11"/>
        <v>0</v>
      </c>
      <c r="L356" s="3" t="s">
        <v>1410</v>
      </c>
      <c r="M356" s="3">
        <v>6</v>
      </c>
      <c r="N356" s="3" t="s">
        <v>358</v>
      </c>
      <c r="O356" s="3" t="s">
        <v>58</v>
      </c>
      <c r="P356" s="3"/>
    </row>
    <row r="357" spans="1:16" ht="14" customHeight="1">
      <c r="A357" s="4" t="s">
        <v>1428</v>
      </c>
      <c r="B357" s="4" t="s">
        <v>58</v>
      </c>
      <c r="C357" s="4"/>
      <c r="D357" s="4" t="s">
        <v>1429</v>
      </c>
      <c r="E357" s="4" t="s">
        <v>1430</v>
      </c>
      <c r="F357" s="4" t="s">
        <v>166</v>
      </c>
      <c r="G357" s="12">
        <v>1</v>
      </c>
      <c r="H357" s="12">
        <v>121900</v>
      </c>
      <c r="I357" s="13">
        <v>121900</v>
      </c>
      <c r="J357" s="9">
        <f t="shared" si="10"/>
        <v>121900</v>
      </c>
      <c r="K357" s="9">
        <f t="shared" si="11"/>
        <v>0</v>
      </c>
      <c r="L357" s="4"/>
      <c r="M357" s="4">
        <v>6</v>
      </c>
      <c r="N357" s="4" t="s">
        <v>358</v>
      </c>
      <c r="O357" s="4" t="s">
        <v>58</v>
      </c>
      <c r="P357" s="4"/>
    </row>
    <row r="358" spans="1:16" ht="14" customHeight="1">
      <c r="A358" s="3" t="s">
        <v>1431</v>
      </c>
      <c r="B358" s="3" t="s">
        <v>58</v>
      </c>
      <c r="C358" s="3"/>
      <c r="D358" s="3" t="s">
        <v>1432</v>
      </c>
      <c r="E358" s="3" t="s">
        <v>1433</v>
      </c>
      <c r="F358" s="3" t="s">
        <v>166</v>
      </c>
      <c r="G358" s="10">
        <v>1</v>
      </c>
      <c r="H358" s="10">
        <v>135700</v>
      </c>
      <c r="I358" s="11">
        <v>135700</v>
      </c>
      <c r="J358" s="8">
        <f t="shared" si="10"/>
        <v>135700</v>
      </c>
      <c r="K358" s="8">
        <f t="shared" si="11"/>
        <v>0</v>
      </c>
      <c r="L358" s="3"/>
      <c r="M358" s="3">
        <v>6</v>
      </c>
      <c r="N358" s="3" t="s">
        <v>358</v>
      </c>
      <c r="O358" s="3" t="s">
        <v>58</v>
      </c>
      <c r="P358" s="3"/>
    </row>
    <row r="359" spans="1:16" ht="14" customHeight="1">
      <c r="A359" s="4" t="s">
        <v>1434</v>
      </c>
      <c r="B359" s="4" t="s">
        <v>58</v>
      </c>
      <c r="C359" s="4"/>
      <c r="D359" s="4" t="s">
        <v>1435</v>
      </c>
      <c r="E359" s="4" t="s">
        <v>1436</v>
      </c>
      <c r="F359" s="4" t="s">
        <v>166</v>
      </c>
      <c r="G359" s="12">
        <v>1</v>
      </c>
      <c r="H359" s="12">
        <v>125400</v>
      </c>
      <c r="I359" s="13">
        <v>125400</v>
      </c>
      <c r="J359" s="9">
        <f t="shared" si="10"/>
        <v>125400</v>
      </c>
      <c r="K359" s="9">
        <f t="shared" si="11"/>
        <v>0</v>
      </c>
      <c r="L359" s="4" t="s">
        <v>1421</v>
      </c>
      <c r="M359" s="4">
        <v>6</v>
      </c>
      <c r="N359" s="4" t="s">
        <v>358</v>
      </c>
      <c r="O359" s="4" t="s">
        <v>58</v>
      </c>
      <c r="P359" s="4"/>
    </row>
    <row r="360" spans="1:16" ht="14" customHeight="1">
      <c r="A360" s="3" t="s">
        <v>1437</v>
      </c>
      <c r="B360" s="3" t="s">
        <v>58</v>
      </c>
      <c r="C360" s="3"/>
      <c r="D360" s="3" t="s">
        <v>1438</v>
      </c>
      <c r="E360" s="3" t="s">
        <v>1439</v>
      </c>
      <c r="F360" s="3" t="s">
        <v>166</v>
      </c>
      <c r="G360" s="10">
        <v>2</v>
      </c>
      <c r="H360" s="10">
        <v>242600</v>
      </c>
      <c r="I360" s="11">
        <v>485200</v>
      </c>
      <c r="J360" s="8">
        <f t="shared" si="10"/>
        <v>485200</v>
      </c>
      <c r="K360" s="8">
        <f t="shared" si="11"/>
        <v>0</v>
      </c>
      <c r="L360" s="3" t="s">
        <v>1421</v>
      </c>
      <c r="M360" s="3">
        <v>7</v>
      </c>
      <c r="N360" s="3" t="s">
        <v>358</v>
      </c>
      <c r="O360" s="3" t="s">
        <v>58</v>
      </c>
      <c r="P360" s="3"/>
    </row>
    <row r="361" spans="1:16" ht="14" customHeight="1">
      <c r="A361" s="4" t="s">
        <v>1440</v>
      </c>
      <c r="B361" s="4" t="s">
        <v>58</v>
      </c>
      <c r="C361" s="4"/>
      <c r="D361" s="4" t="s">
        <v>1441</v>
      </c>
      <c r="E361" s="4" t="s">
        <v>1442</v>
      </c>
      <c r="F361" s="4" t="s">
        <v>166</v>
      </c>
      <c r="G361" s="12">
        <v>1</v>
      </c>
      <c r="H361" s="12">
        <v>244900</v>
      </c>
      <c r="I361" s="13">
        <v>244900</v>
      </c>
      <c r="J361" s="9">
        <f t="shared" si="10"/>
        <v>244900</v>
      </c>
      <c r="K361" s="9">
        <f t="shared" si="11"/>
        <v>0</v>
      </c>
      <c r="L361" s="4" t="s">
        <v>1421</v>
      </c>
      <c r="M361" s="4">
        <v>7</v>
      </c>
      <c r="N361" s="4" t="s">
        <v>358</v>
      </c>
      <c r="O361" s="4" t="s">
        <v>58</v>
      </c>
      <c r="P361" s="4"/>
    </row>
    <row r="362" spans="1:16" ht="14" customHeight="1">
      <c r="A362" s="3" t="s">
        <v>1443</v>
      </c>
      <c r="B362" s="3" t="s">
        <v>58</v>
      </c>
      <c r="C362" s="3"/>
      <c r="D362" s="3" t="s">
        <v>1444</v>
      </c>
      <c r="E362" s="3" t="s">
        <v>1445</v>
      </c>
      <c r="F362" s="3" t="s">
        <v>166</v>
      </c>
      <c r="G362" s="10">
        <v>1</v>
      </c>
      <c r="H362" s="10">
        <v>11600</v>
      </c>
      <c r="I362" s="11">
        <v>11600</v>
      </c>
      <c r="J362" s="8">
        <f t="shared" si="10"/>
        <v>11600</v>
      </c>
      <c r="K362" s="8">
        <f t="shared" si="11"/>
        <v>0</v>
      </c>
      <c r="L362" s="3" t="s">
        <v>1446</v>
      </c>
      <c r="M362" s="3">
        <v>7</v>
      </c>
      <c r="N362" s="3" t="s">
        <v>358</v>
      </c>
      <c r="O362" s="3" t="s">
        <v>58</v>
      </c>
      <c r="P362" s="3"/>
    </row>
    <row r="363" spans="1:16" ht="14" customHeight="1">
      <c r="A363" s="4" t="s">
        <v>1447</v>
      </c>
      <c r="B363" s="4" t="s">
        <v>58</v>
      </c>
      <c r="C363" s="4"/>
      <c r="D363" s="4" t="s">
        <v>1448</v>
      </c>
      <c r="E363" s="4" t="s">
        <v>1449</v>
      </c>
      <c r="F363" s="4" t="s">
        <v>166</v>
      </c>
      <c r="G363" s="12">
        <v>23</v>
      </c>
      <c r="H363" s="12">
        <v>12600</v>
      </c>
      <c r="I363" s="13">
        <v>289800</v>
      </c>
      <c r="J363" s="9">
        <f t="shared" si="10"/>
        <v>289800</v>
      </c>
      <c r="K363" s="9">
        <f t="shared" si="11"/>
        <v>0</v>
      </c>
      <c r="L363" s="4" t="s">
        <v>1367</v>
      </c>
      <c r="M363" s="4">
        <v>7</v>
      </c>
      <c r="N363" s="4" t="s">
        <v>358</v>
      </c>
      <c r="O363" s="4" t="s">
        <v>58</v>
      </c>
      <c r="P363" s="4"/>
    </row>
    <row r="364" spans="1:16" ht="14" customHeight="1">
      <c r="A364" s="3" t="s">
        <v>1450</v>
      </c>
      <c r="B364" s="3" t="s">
        <v>58</v>
      </c>
      <c r="C364" s="3"/>
      <c r="D364" s="3" t="s">
        <v>1451</v>
      </c>
      <c r="E364" s="3" t="s">
        <v>1452</v>
      </c>
      <c r="F364" s="3" t="s">
        <v>166</v>
      </c>
      <c r="G364" s="10">
        <v>4</v>
      </c>
      <c r="H364" s="10">
        <v>10500</v>
      </c>
      <c r="I364" s="11">
        <v>42000</v>
      </c>
      <c r="J364" s="8">
        <f t="shared" si="10"/>
        <v>42000</v>
      </c>
      <c r="K364" s="8">
        <f t="shared" si="11"/>
        <v>0</v>
      </c>
      <c r="L364" s="3" t="s">
        <v>1367</v>
      </c>
      <c r="M364" s="3">
        <v>7</v>
      </c>
      <c r="N364" s="3" t="s">
        <v>358</v>
      </c>
      <c r="O364" s="3" t="s">
        <v>58</v>
      </c>
      <c r="P364" s="3"/>
    </row>
    <row r="365" spans="1:16" ht="14" customHeight="1">
      <c r="A365" s="4" t="s">
        <v>1453</v>
      </c>
      <c r="B365" s="4" t="s">
        <v>58</v>
      </c>
      <c r="C365" s="4"/>
      <c r="D365" s="4" t="s">
        <v>1454</v>
      </c>
      <c r="E365" s="4" t="s">
        <v>1455</v>
      </c>
      <c r="F365" s="4" t="s">
        <v>166</v>
      </c>
      <c r="G365" s="12">
        <v>1</v>
      </c>
      <c r="H365" s="12">
        <v>25200</v>
      </c>
      <c r="I365" s="13">
        <v>25200</v>
      </c>
      <c r="J365" s="9">
        <f t="shared" si="10"/>
        <v>25200</v>
      </c>
      <c r="K365" s="9">
        <f t="shared" si="11"/>
        <v>0</v>
      </c>
      <c r="L365" s="4" t="s">
        <v>1367</v>
      </c>
      <c r="M365" s="4">
        <v>7</v>
      </c>
      <c r="N365" s="4" t="s">
        <v>358</v>
      </c>
      <c r="O365" s="4" t="s">
        <v>58</v>
      </c>
      <c r="P365" s="4"/>
    </row>
    <row r="366" spans="1:16" ht="14" customHeight="1">
      <c r="A366" s="3" t="s">
        <v>1456</v>
      </c>
      <c r="B366" s="3" t="s">
        <v>58</v>
      </c>
      <c r="C366" s="3"/>
      <c r="D366" s="3" t="s">
        <v>1457</v>
      </c>
      <c r="E366" s="3" t="s">
        <v>1458</v>
      </c>
      <c r="F366" s="3" t="s">
        <v>166</v>
      </c>
      <c r="G366" s="10">
        <v>3</v>
      </c>
      <c r="H366" s="10">
        <v>30300</v>
      </c>
      <c r="I366" s="11">
        <v>90900</v>
      </c>
      <c r="J366" s="8">
        <f t="shared" si="10"/>
        <v>90900</v>
      </c>
      <c r="K366" s="8">
        <f t="shared" si="11"/>
        <v>0</v>
      </c>
      <c r="L366" s="3" t="s">
        <v>1446</v>
      </c>
      <c r="M366" s="3">
        <v>7</v>
      </c>
      <c r="N366" s="3" t="s">
        <v>358</v>
      </c>
      <c r="O366" s="3" t="s">
        <v>58</v>
      </c>
      <c r="P366" s="3"/>
    </row>
    <row r="367" spans="1:16" ht="14" customHeight="1">
      <c r="A367" s="4" t="s">
        <v>1459</v>
      </c>
      <c r="B367" s="4" t="s">
        <v>58</v>
      </c>
      <c r="C367" s="4"/>
      <c r="D367" s="4" t="s">
        <v>1460</v>
      </c>
      <c r="E367" s="4" t="s">
        <v>1461</v>
      </c>
      <c r="F367" s="4" t="s">
        <v>166</v>
      </c>
      <c r="G367" s="12">
        <v>8</v>
      </c>
      <c r="H367" s="12">
        <v>52500</v>
      </c>
      <c r="I367" s="13">
        <v>420000</v>
      </c>
      <c r="J367" s="9">
        <f t="shared" si="10"/>
        <v>420000</v>
      </c>
      <c r="K367" s="9">
        <f t="shared" si="11"/>
        <v>0</v>
      </c>
      <c r="L367" s="4" t="s">
        <v>1446</v>
      </c>
      <c r="M367" s="4">
        <v>7</v>
      </c>
      <c r="N367" s="4" t="s">
        <v>358</v>
      </c>
      <c r="O367" s="4" t="s">
        <v>58</v>
      </c>
      <c r="P367" s="4"/>
    </row>
    <row r="368" spans="1:16" ht="14" customHeight="1">
      <c r="A368" s="3" t="s">
        <v>1462</v>
      </c>
      <c r="B368" s="3" t="s">
        <v>58</v>
      </c>
      <c r="C368" s="3"/>
      <c r="D368" s="3" t="s">
        <v>1463</v>
      </c>
      <c r="E368" s="3" t="s">
        <v>1464</v>
      </c>
      <c r="F368" s="3" t="s">
        <v>166</v>
      </c>
      <c r="G368" s="10">
        <v>9</v>
      </c>
      <c r="H368" s="10">
        <v>41400</v>
      </c>
      <c r="I368" s="11">
        <v>372600</v>
      </c>
      <c r="J368" s="8">
        <f t="shared" si="10"/>
        <v>372600</v>
      </c>
      <c r="K368" s="8">
        <f t="shared" si="11"/>
        <v>0</v>
      </c>
      <c r="L368" s="3" t="s">
        <v>1446</v>
      </c>
      <c r="M368" s="3">
        <v>7</v>
      </c>
      <c r="N368" s="3" t="s">
        <v>358</v>
      </c>
      <c r="O368" s="3" t="s">
        <v>58</v>
      </c>
      <c r="P368" s="3"/>
    </row>
    <row r="369" spans="1:16" ht="14" customHeight="1">
      <c r="A369" s="4" t="s">
        <v>1465</v>
      </c>
      <c r="B369" s="4" t="s">
        <v>58</v>
      </c>
      <c r="C369" s="4"/>
      <c r="D369" s="4" t="s">
        <v>1466</v>
      </c>
      <c r="E369" s="4" t="s">
        <v>1467</v>
      </c>
      <c r="F369" s="4" t="s">
        <v>166</v>
      </c>
      <c r="G369" s="12">
        <v>2</v>
      </c>
      <c r="H369" s="12">
        <v>8100</v>
      </c>
      <c r="I369" s="13">
        <v>16200</v>
      </c>
      <c r="J369" s="9">
        <f t="shared" si="10"/>
        <v>16200</v>
      </c>
      <c r="K369" s="9">
        <f t="shared" si="11"/>
        <v>0</v>
      </c>
      <c r="L369" s="4" t="s">
        <v>1367</v>
      </c>
      <c r="M369" s="4">
        <v>7</v>
      </c>
      <c r="N369" s="4" t="s">
        <v>358</v>
      </c>
      <c r="O369" s="4" t="s">
        <v>58</v>
      </c>
      <c r="P369" s="4"/>
    </row>
    <row r="370" spans="1:16" ht="14" customHeight="1">
      <c r="A370" s="3" t="s">
        <v>1468</v>
      </c>
      <c r="B370" s="3" t="s">
        <v>58</v>
      </c>
      <c r="C370" s="3"/>
      <c r="D370" s="3" t="s">
        <v>1469</v>
      </c>
      <c r="E370" s="3" t="s">
        <v>1470</v>
      </c>
      <c r="F370" s="3" t="s">
        <v>166</v>
      </c>
      <c r="G370" s="10">
        <v>1</v>
      </c>
      <c r="H370" s="10">
        <v>22900</v>
      </c>
      <c r="I370" s="11">
        <v>22900</v>
      </c>
      <c r="J370" s="8">
        <f t="shared" si="10"/>
        <v>22900</v>
      </c>
      <c r="K370" s="8">
        <f t="shared" si="11"/>
        <v>0</v>
      </c>
      <c r="L370" s="3" t="s">
        <v>1367</v>
      </c>
      <c r="M370" s="3">
        <v>7</v>
      </c>
      <c r="N370" s="3" t="s">
        <v>358</v>
      </c>
      <c r="O370" s="3" t="s">
        <v>58</v>
      </c>
      <c r="P370" s="3"/>
    </row>
    <row r="371" spans="1:16" ht="14" customHeight="1">
      <c r="A371" s="4" t="s">
        <v>1471</v>
      </c>
      <c r="B371" s="4" t="s">
        <v>58</v>
      </c>
      <c r="C371" s="4"/>
      <c r="D371" s="4" t="s">
        <v>1472</v>
      </c>
      <c r="E371" s="4" t="s">
        <v>1473</v>
      </c>
      <c r="F371" s="4" t="s">
        <v>166</v>
      </c>
      <c r="G371" s="12">
        <v>10</v>
      </c>
      <c r="H371" s="12">
        <v>22300</v>
      </c>
      <c r="I371" s="13">
        <v>223000</v>
      </c>
      <c r="J371" s="9">
        <f t="shared" si="10"/>
        <v>223000</v>
      </c>
      <c r="K371" s="9">
        <f t="shared" si="11"/>
        <v>0</v>
      </c>
      <c r="L371" s="4" t="s">
        <v>1367</v>
      </c>
      <c r="M371" s="4">
        <v>7</v>
      </c>
      <c r="N371" s="4" t="s">
        <v>358</v>
      </c>
      <c r="O371" s="4" t="s">
        <v>58</v>
      </c>
      <c r="P371" s="4"/>
    </row>
    <row r="372" spans="1:16" ht="14" customHeight="1">
      <c r="A372" s="3" t="s">
        <v>1474</v>
      </c>
      <c r="B372" s="3" t="s">
        <v>58</v>
      </c>
      <c r="C372" s="3"/>
      <c r="D372" s="3" t="s">
        <v>1475</v>
      </c>
      <c r="E372" s="3" t="s">
        <v>1476</v>
      </c>
      <c r="F372" s="3" t="s">
        <v>166</v>
      </c>
      <c r="G372" s="10">
        <v>1</v>
      </c>
      <c r="H372" s="10">
        <v>47000</v>
      </c>
      <c r="I372" s="11">
        <v>47000</v>
      </c>
      <c r="J372" s="8">
        <f t="shared" si="10"/>
        <v>47000</v>
      </c>
      <c r="K372" s="8">
        <f t="shared" si="11"/>
        <v>0</v>
      </c>
      <c r="L372" s="3" t="s">
        <v>1446</v>
      </c>
      <c r="M372" s="3">
        <v>7</v>
      </c>
      <c r="N372" s="3" t="s">
        <v>358</v>
      </c>
      <c r="O372" s="3" t="s">
        <v>58</v>
      </c>
      <c r="P372" s="3"/>
    </row>
    <row r="373" spans="1:16" ht="14" customHeight="1">
      <c r="A373" s="4" t="s">
        <v>1477</v>
      </c>
      <c r="B373" s="4" t="s">
        <v>58</v>
      </c>
      <c r="C373" s="4"/>
      <c r="D373" s="4" t="s">
        <v>1478</v>
      </c>
      <c r="E373" s="4" t="s">
        <v>1479</v>
      </c>
      <c r="F373" s="4" t="s">
        <v>166</v>
      </c>
      <c r="G373" s="12">
        <v>1</v>
      </c>
      <c r="H373" s="12">
        <v>139100</v>
      </c>
      <c r="I373" s="13">
        <v>139100</v>
      </c>
      <c r="J373" s="9">
        <f t="shared" si="10"/>
        <v>139100</v>
      </c>
      <c r="K373" s="9">
        <f t="shared" si="11"/>
        <v>0</v>
      </c>
      <c r="L373" s="4" t="s">
        <v>1446</v>
      </c>
      <c r="M373" s="4">
        <v>7</v>
      </c>
      <c r="N373" s="4" t="s">
        <v>358</v>
      </c>
      <c r="O373" s="4" t="s">
        <v>58</v>
      </c>
      <c r="P373" s="4"/>
    </row>
    <row r="374" spans="1:16" ht="14" customHeight="1">
      <c r="A374" s="3" t="s">
        <v>1480</v>
      </c>
      <c r="B374" s="3" t="s">
        <v>58</v>
      </c>
      <c r="C374" s="3"/>
      <c r="D374" s="3" t="s">
        <v>1481</v>
      </c>
      <c r="E374" s="3" t="s">
        <v>1482</v>
      </c>
      <c r="F374" s="3" t="s">
        <v>166</v>
      </c>
      <c r="G374" s="10">
        <v>2</v>
      </c>
      <c r="H374" s="10">
        <v>231200</v>
      </c>
      <c r="I374" s="11">
        <v>462400</v>
      </c>
      <c r="J374" s="8">
        <f t="shared" si="10"/>
        <v>462400</v>
      </c>
      <c r="K374" s="8">
        <f t="shared" si="11"/>
        <v>0</v>
      </c>
      <c r="L374" s="3" t="s">
        <v>1367</v>
      </c>
      <c r="M374" s="3">
        <v>7</v>
      </c>
      <c r="N374" s="3" t="s">
        <v>358</v>
      </c>
      <c r="O374" s="3" t="s">
        <v>58</v>
      </c>
      <c r="P374" s="3"/>
    </row>
    <row r="375" spans="1:16" ht="14" customHeight="1">
      <c r="A375" s="4" t="s">
        <v>1483</v>
      </c>
      <c r="B375" s="4" t="s">
        <v>58</v>
      </c>
      <c r="C375" s="4"/>
      <c r="D375" s="4" t="s">
        <v>1484</v>
      </c>
      <c r="E375" s="4" t="s">
        <v>1485</v>
      </c>
      <c r="F375" s="4" t="s">
        <v>166</v>
      </c>
      <c r="G375" s="12">
        <v>2</v>
      </c>
      <c r="H375" s="12">
        <v>64700</v>
      </c>
      <c r="I375" s="13">
        <v>129400</v>
      </c>
      <c r="J375" s="9">
        <f t="shared" si="10"/>
        <v>129400</v>
      </c>
      <c r="K375" s="9">
        <f t="shared" si="11"/>
        <v>0</v>
      </c>
      <c r="L375" s="4" t="s">
        <v>1446</v>
      </c>
      <c r="M375" s="4">
        <v>7</v>
      </c>
      <c r="N375" s="4" t="s">
        <v>358</v>
      </c>
      <c r="O375" s="4" t="s">
        <v>58</v>
      </c>
      <c r="P375" s="4"/>
    </row>
    <row r="376" spans="1:16" ht="14" customHeight="1">
      <c r="A376" s="3" t="s">
        <v>1486</v>
      </c>
      <c r="B376" s="3" t="s">
        <v>58</v>
      </c>
      <c r="C376" s="3"/>
      <c r="D376" s="3" t="s">
        <v>1487</v>
      </c>
      <c r="E376" s="3" t="s">
        <v>1488</v>
      </c>
      <c r="F376" s="3" t="s">
        <v>166</v>
      </c>
      <c r="G376" s="10">
        <v>1</v>
      </c>
      <c r="H376" s="10">
        <v>112800</v>
      </c>
      <c r="I376" s="11">
        <v>112800</v>
      </c>
      <c r="J376" s="8">
        <f t="shared" si="10"/>
        <v>112800</v>
      </c>
      <c r="K376" s="8">
        <f t="shared" si="11"/>
        <v>0</v>
      </c>
      <c r="L376" s="3" t="s">
        <v>1446</v>
      </c>
      <c r="M376" s="3">
        <v>7</v>
      </c>
      <c r="N376" s="3" t="s">
        <v>358</v>
      </c>
      <c r="O376" s="3" t="s">
        <v>58</v>
      </c>
      <c r="P376" s="3"/>
    </row>
    <row r="377" spans="1:16" ht="14" customHeight="1">
      <c r="A377" s="4" t="s">
        <v>1489</v>
      </c>
      <c r="B377" s="4" t="s">
        <v>58</v>
      </c>
      <c r="C377" s="4"/>
      <c r="D377" s="4" t="s">
        <v>1490</v>
      </c>
      <c r="E377" s="4" t="s">
        <v>1491</v>
      </c>
      <c r="F377" s="4" t="s">
        <v>166</v>
      </c>
      <c r="G377" s="12">
        <v>1</v>
      </c>
      <c r="H377" s="12">
        <v>522100</v>
      </c>
      <c r="I377" s="13">
        <v>522100</v>
      </c>
      <c r="J377" s="9">
        <f t="shared" si="10"/>
        <v>522100</v>
      </c>
      <c r="K377" s="9">
        <f t="shared" si="11"/>
        <v>0</v>
      </c>
      <c r="L377" s="4" t="s">
        <v>1367</v>
      </c>
      <c r="M377" s="4">
        <v>7</v>
      </c>
      <c r="N377" s="4" t="s">
        <v>358</v>
      </c>
      <c r="O377" s="4" t="s">
        <v>58</v>
      </c>
      <c r="P377" s="4"/>
    </row>
    <row r="378" spans="1:16" ht="14" customHeight="1">
      <c r="A378" s="3" t="s">
        <v>1492</v>
      </c>
      <c r="B378" s="3" t="s">
        <v>58</v>
      </c>
      <c r="C378" s="3"/>
      <c r="D378" s="3" t="s">
        <v>1493</v>
      </c>
      <c r="E378" s="3" t="s">
        <v>1494</v>
      </c>
      <c r="F378" s="3" t="s">
        <v>166</v>
      </c>
      <c r="G378" s="10">
        <v>1</v>
      </c>
      <c r="H378" s="10">
        <v>870100</v>
      </c>
      <c r="I378" s="11">
        <v>870100</v>
      </c>
      <c r="J378" s="8">
        <f t="shared" si="10"/>
        <v>870100</v>
      </c>
      <c r="K378" s="8">
        <f t="shared" si="11"/>
        <v>0</v>
      </c>
      <c r="L378" s="3" t="s">
        <v>1367</v>
      </c>
      <c r="M378" s="3">
        <v>7</v>
      </c>
      <c r="N378" s="3" t="s">
        <v>358</v>
      </c>
      <c r="O378" s="3" t="s">
        <v>58</v>
      </c>
      <c r="P378" s="3"/>
    </row>
    <row r="379" spans="1:16" ht="14" customHeight="1">
      <c r="A379" s="4" t="s">
        <v>1495</v>
      </c>
      <c r="B379" s="4" t="s">
        <v>58</v>
      </c>
      <c r="C379" s="4"/>
      <c r="D379" s="4" t="s">
        <v>1496</v>
      </c>
      <c r="E379" s="4" t="s">
        <v>1497</v>
      </c>
      <c r="F379" s="4" t="s">
        <v>166</v>
      </c>
      <c r="G379" s="12">
        <v>1</v>
      </c>
      <c r="H379" s="12">
        <v>1496600</v>
      </c>
      <c r="I379" s="13">
        <v>1496600</v>
      </c>
      <c r="J379" s="9">
        <f t="shared" si="10"/>
        <v>1496600</v>
      </c>
      <c r="K379" s="9">
        <f t="shared" si="11"/>
        <v>0</v>
      </c>
      <c r="L379" s="4" t="s">
        <v>1367</v>
      </c>
      <c r="M379" s="4">
        <v>7</v>
      </c>
      <c r="N379" s="4" t="s">
        <v>358</v>
      </c>
      <c r="O379" s="4" t="s">
        <v>58</v>
      </c>
      <c r="P379" s="4"/>
    </row>
    <row r="380" spans="1:16" ht="14" customHeight="1">
      <c r="A380" s="3" t="s">
        <v>1498</v>
      </c>
      <c r="B380" s="3" t="s">
        <v>1499</v>
      </c>
      <c r="C380" s="3"/>
      <c r="D380" s="3" t="s">
        <v>1123</v>
      </c>
      <c r="E380" s="3" t="s">
        <v>1500</v>
      </c>
      <c r="F380" s="3" t="s">
        <v>144</v>
      </c>
      <c r="G380" s="10">
        <v>1</v>
      </c>
      <c r="H380" s="10">
        <v>1243800</v>
      </c>
      <c r="I380" s="11">
        <v>1243800</v>
      </c>
      <c r="J380" s="8">
        <f t="shared" si="10"/>
        <v>1243800</v>
      </c>
      <c r="K380" s="8">
        <f t="shared" si="11"/>
        <v>0</v>
      </c>
      <c r="L380" s="3" t="s">
        <v>1501</v>
      </c>
      <c r="M380" s="3">
        <v>7</v>
      </c>
      <c r="N380" s="3" t="s">
        <v>358</v>
      </c>
      <c r="O380" s="3" t="s">
        <v>60</v>
      </c>
      <c r="P380" s="3"/>
    </row>
    <row r="381" spans="1:16" ht="14" customHeight="1">
      <c r="A381" s="4" t="s">
        <v>1502</v>
      </c>
      <c r="B381" s="4" t="s">
        <v>1499</v>
      </c>
      <c r="C381" s="4"/>
      <c r="D381" s="4" t="s">
        <v>1126</v>
      </c>
      <c r="E381" s="4" t="s">
        <v>1503</v>
      </c>
      <c r="F381" s="4" t="s">
        <v>144</v>
      </c>
      <c r="G381" s="12">
        <v>1</v>
      </c>
      <c r="H381" s="12">
        <v>2448900</v>
      </c>
      <c r="I381" s="13">
        <v>2448900</v>
      </c>
      <c r="J381" s="9">
        <f t="shared" si="10"/>
        <v>2448900</v>
      </c>
      <c r="K381" s="9">
        <f t="shared" si="11"/>
        <v>0</v>
      </c>
      <c r="L381" s="4" t="s">
        <v>1504</v>
      </c>
      <c r="M381" s="4">
        <v>7</v>
      </c>
      <c r="N381" s="4" t="s">
        <v>358</v>
      </c>
      <c r="O381" s="4" t="s">
        <v>60</v>
      </c>
      <c r="P381" s="4"/>
    </row>
    <row r="382" spans="1:16" ht="14" customHeight="1">
      <c r="A382" s="3" t="s">
        <v>1505</v>
      </c>
      <c r="B382" s="3" t="s">
        <v>1499</v>
      </c>
      <c r="C382" s="3"/>
      <c r="D382" s="3" t="s">
        <v>1129</v>
      </c>
      <c r="E382" s="3" t="s">
        <v>1506</v>
      </c>
      <c r="F382" s="3" t="s">
        <v>438</v>
      </c>
      <c r="G382" s="10">
        <v>5</v>
      </c>
      <c r="H382" s="10">
        <v>6900</v>
      </c>
      <c r="I382" s="11">
        <v>34500</v>
      </c>
      <c r="J382" s="8">
        <f t="shared" si="10"/>
        <v>34500</v>
      </c>
      <c r="K382" s="8">
        <f t="shared" si="11"/>
        <v>0</v>
      </c>
      <c r="L382" s="3"/>
      <c r="M382" s="3">
        <v>7</v>
      </c>
      <c r="N382" s="3" t="s">
        <v>358</v>
      </c>
      <c r="O382" s="3" t="s">
        <v>60</v>
      </c>
      <c r="P382" s="3"/>
    </row>
    <row r="383" spans="1:16" ht="14" customHeight="1">
      <c r="A383" s="4" t="s">
        <v>1507</v>
      </c>
      <c r="B383" s="4" t="s">
        <v>1499</v>
      </c>
      <c r="C383" s="4"/>
      <c r="D383" s="4" t="s">
        <v>1132</v>
      </c>
      <c r="E383" s="4" t="s">
        <v>1508</v>
      </c>
      <c r="F383" s="4" t="s">
        <v>438</v>
      </c>
      <c r="G383" s="12">
        <v>3</v>
      </c>
      <c r="H383" s="12">
        <v>75900</v>
      </c>
      <c r="I383" s="13">
        <v>227700</v>
      </c>
      <c r="J383" s="9">
        <f t="shared" si="10"/>
        <v>227700</v>
      </c>
      <c r="K383" s="9">
        <f t="shared" si="11"/>
        <v>0</v>
      </c>
      <c r="L383" s="4"/>
      <c r="M383" s="4">
        <v>7</v>
      </c>
      <c r="N383" s="4" t="s">
        <v>358</v>
      </c>
      <c r="O383" s="4" t="s">
        <v>60</v>
      </c>
      <c r="P383" s="4"/>
    </row>
    <row r="384" spans="1:16" ht="14" customHeight="1">
      <c r="A384" s="3" t="s">
        <v>1509</v>
      </c>
      <c r="B384" s="3" t="s">
        <v>1499</v>
      </c>
      <c r="C384" s="3"/>
      <c r="D384" s="3" t="s">
        <v>1135</v>
      </c>
      <c r="E384" s="3" t="s">
        <v>1510</v>
      </c>
      <c r="F384" s="3" t="s">
        <v>438</v>
      </c>
      <c r="G384" s="10">
        <v>2</v>
      </c>
      <c r="H384" s="10">
        <v>81200</v>
      </c>
      <c r="I384" s="11">
        <v>162400</v>
      </c>
      <c r="J384" s="8">
        <f t="shared" si="10"/>
        <v>162400</v>
      </c>
      <c r="K384" s="8">
        <f t="shared" si="11"/>
        <v>0</v>
      </c>
      <c r="L384" s="3"/>
      <c r="M384" s="3">
        <v>8</v>
      </c>
      <c r="N384" s="3" t="s">
        <v>358</v>
      </c>
      <c r="O384" s="3" t="s">
        <v>60</v>
      </c>
      <c r="P384" s="3"/>
    </row>
    <row r="385" spans="1:16" ht="14" customHeight="1">
      <c r="A385" s="4" t="s">
        <v>1511</v>
      </c>
      <c r="B385" s="4" t="s">
        <v>1499</v>
      </c>
      <c r="C385" s="4"/>
      <c r="D385" s="4" t="s">
        <v>1140</v>
      </c>
      <c r="E385" s="4" t="s">
        <v>1512</v>
      </c>
      <c r="F385" s="4" t="s">
        <v>107</v>
      </c>
      <c r="G385" s="12">
        <v>78</v>
      </c>
      <c r="H385" s="12">
        <v>2400</v>
      </c>
      <c r="I385" s="13">
        <v>187200</v>
      </c>
      <c r="J385" s="9">
        <f t="shared" si="10"/>
        <v>187200</v>
      </c>
      <c r="K385" s="9">
        <f t="shared" si="11"/>
        <v>0</v>
      </c>
      <c r="L385" s="4" t="s">
        <v>1513</v>
      </c>
      <c r="M385" s="4">
        <v>8</v>
      </c>
      <c r="N385" s="4" t="s">
        <v>358</v>
      </c>
      <c r="O385" s="4" t="s">
        <v>60</v>
      </c>
      <c r="P385" s="4"/>
    </row>
    <row r="386" spans="1:16" ht="14" customHeight="1">
      <c r="A386" s="3" t="s">
        <v>1514</v>
      </c>
      <c r="B386" s="3" t="s">
        <v>1499</v>
      </c>
      <c r="C386" s="3"/>
      <c r="D386" s="3" t="s">
        <v>1143</v>
      </c>
      <c r="E386" s="3" t="s">
        <v>1515</v>
      </c>
      <c r="F386" s="3" t="s">
        <v>740</v>
      </c>
      <c r="G386" s="10">
        <v>9</v>
      </c>
      <c r="H386" s="10">
        <v>2500</v>
      </c>
      <c r="I386" s="11">
        <v>22500</v>
      </c>
      <c r="J386" s="8">
        <f t="shared" si="10"/>
        <v>22500</v>
      </c>
      <c r="K386" s="8">
        <f t="shared" si="11"/>
        <v>0</v>
      </c>
      <c r="L386" s="3" t="s">
        <v>1513</v>
      </c>
      <c r="M386" s="3">
        <v>8</v>
      </c>
      <c r="N386" s="3" t="s">
        <v>358</v>
      </c>
      <c r="O386" s="3" t="s">
        <v>60</v>
      </c>
      <c r="P386" s="3"/>
    </row>
    <row r="387" spans="1:16" ht="14" customHeight="1">
      <c r="A387" s="4" t="s">
        <v>1516</v>
      </c>
      <c r="B387" s="4" t="s">
        <v>1499</v>
      </c>
      <c r="C387" s="4"/>
      <c r="D387" s="4" t="s">
        <v>1146</v>
      </c>
      <c r="E387" s="4" t="s">
        <v>1517</v>
      </c>
      <c r="F387" s="4" t="s">
        <v>87</v>
      </c>
      <c r="G387" s="12">
        <v>1.55</v>
      </c>
      <c r="H387" s="12">
        <v>740</v>
      </c>
      <c r="I387" s="13">
        <v>1147</v>
      </c>
      <c r="J387" s="9">
        <f t="shared" si="10"/>
        <v>1147</v>
      </c>
      <c r="K387" s="9">
        <f t="shared" si="11"/>
        <v>0</v>
      </c>
      <c r="L387" s="4"/>
      <c r="M387" s="4">
        <v>8</v>
      </c>
      <c r="N387" s="4" t="s">
        <v>358</v>
      </c>
      <c r="O387" s="4" t="s">
        <v>60</v>
      </c>
      <c r="P387" s="4"/>
    </row>
    <row r="388" spans="1:16" ht="14" customHeight="1">
      <c r="A388" s="3" t="s">
        <v>1518</v>
      </c>
      <c r="B388" s="3" t="s">
        <v>1499</v>
      </c>
      <c r="C388" s="3"/>
      <c r="D388" s="3" t="s">
        <v>1149</v>
      </c>
      <c r="E388" s="3" t="s">
        <v>1519</v>
      </c>
      <c r="F388" s="3" t="s">
        <v>421</v>
      </c>
      <c r="G388" s="10">
        <v>2</v>
      </c>
      <c r="H388" s="10">
        <v>9350</v>
      </c>
      <c r="I388" s="11">
        <v>18700</v>
      </c>
      <c r="J388" s="8">
        <f t="shared" si="10"/>
        <v>18700</v>
      </c>
      <c r="K388" s="8">
        <f t="shared" si="11"/>
        <v>0</v>
      </c>
      <c r="L388" s="3"/>
      <c r="M388" s="3">
        <v>8</v>
      </c>
      <c r="N388" s="3" t="s">
        <v>358</v>
      </c>
      <c r="O388" s="3" t="s">
        <v>60</v>
      </c>
      <c r="P388" s="3"/>
    </row>
    <row r="389" spans="1:16" ht="14" customHeight="1">
      <c r="A389" s="4" t="s">
        <v>1520</v>
      </c>
      <c r="B389" s="4" t="s">
        <v>1499</v>
      </c>
      <c r="C389" s="4"/>
      <c r="D389" s="4" t="s">
        <v>1152</v>
      </c>
      <c r="E389" s="4" t="s">
        <v>1521</v>
      </c>
      <c r="F389" s="4" t="s">
        <v>421</v>
      </c>
      <c r="G389" s="12">
        <v>1</v>
      </c>
      <c r="H389" s="12">
        <v>6490</v>
      </c>
      <c r="I389" s="13">
        <v>6490</v>
      </c>
      <c r="J389" s="9">
        <f t="shared" si="10"/>
        <v>6490</v>
      </c>
      <c r="K389" s="9">
        <f t="shared" si="11"/>
        <v>0</v>
      </c>
      <c r="L389" s="4"/>
      <c r="M389" s="4">
        <v>8</v>
      </c>
      <c r="N389" s="4" t="s">
        <v>358</v>
      </c>
      <c r="O389" s="4" t="s">
        <v>60</v>
      </c>
      <c r="P389" s="4"/>
    </row>
    <row r="390" spans="1:16" ht="14" customHeight="1">
      <c r="A390" s="3" t="s">
        <v>1522</v>
      </c>
      <c r="B390" s="3" t="s">
        <v>1499</v>
      </c>
      <c r="C390" s="3"/>
      <c r="D390" s="3" t="s">
        <v>1156</v>
      </c>
      <c r="E390" s="3" t="s">
        <v>1523</v>
      </c>
      <c r="F390" s="3" t="s">
        <v>1071</v>
      </c>
      <c r="G390" s="10">
        <v>1</v>
      </c>
      <c r="H390" s="10">
        <v>8040</v>
      </c>
      <c r="I390" s="11">
        <v>8040</v>
      </c>
      <c r="J390" s="8">
        <f t="shared" ref="J390:J453" si="12">IF(OR(G390="",H390=""),"",ROUND(G390*H390,0))</f>
        <v>8040</v>
      </c>
      <c r="K390" s="8">
        <f t="shared" ref="K390:K453" si="13">IF(OR(I390="",J390=""),"",I390-J390)</f>
        <v>0</v>
      </c>
      <c r="L390" s="3" t="s">
        <v>1524</v>
      </c>
      <c r="M390" s="3">
        <v>8</v>
      </c>
      <c r="N390" s="3" t="s">
        <v>358</v>
      </c>
      <c r="O390" s="3" t="s">
        <v>60</v>
      </c>
      <c r="P390" s="3"/>
    </row>
    <row r="391" spans="1:16" ht="14" customHeight="1">
      <c r="A391" s="4" t="s">
        <v>1525</v>
      </c>
      <c r="B391" s="4" t="s">
        <v>1499</v>
      </c>
      <c r="C391" s="4"/>
      <c r="D391" s="4" t="s">
        <v>1159</v>
      </c>
      <c r="E391" s="4" t="s">
        <v>1526</v>
      </c>
      <c r="F391" s="4" t="s">
        <v>162</v>
      </c>
      <c r="G391" s="12">
        <v>16</v>
      </c>
      <c r="H391" s="12">
        <v>12000</v>
      </c>
      <c r="I391" s="13">
        <v>192000</v>
      </c>
      <c r="J391" s="9">
        <f t="shared" si="12"/>
        <v>192000</v>
      </c>
      <c r="K391" s="9">
        <f t="shared" si="13"/>
        <v>0</v>
      </c>
      <c r="L391" s="4"/>
      <c r="M391" s="4">
        <v>8</v>
      </c>
      <c r="N391" s="4" t="s">
        <v>358</v>
      </c>
      <c r="O391" s="4" t="s">
        <v>60</v>
      </c>
      <c r="P391" s="4"/>
    </row>
    <row r="392" spans="1:16" ht="14" customHeight="1">
      <c r="A392" s="3" t="s">
        <v>1527</v>
      </c>
      <c r="B392" s="3" t="s">
        <v>1499</v>
      </c>
      <c r="C392" s="3"/>
      <c r="D392" s="3" t="s">
        <v>1162</v>
      </c>
      <c r="E392" s="3" t="s">
        <v>1528</v>
      </c>
      <c r="F392" s="3" t="s">
        <v>162</v>
      </c>
      <c r="G392" s="10">
        <v>10</v>
      </c>
      <c r="H392" s="10">
        <v>8970</v>
      </c>
      <c r="I392" s="11">
        <v>89700</v>
      </c>
      <c r="J392" s="8">
        <f t="shared" si="12"/>
        <v>89700</v>
      </c>
      <c r="K392" s="8">
        <f t="shared" si="13"/>
        <v>0</v>
      </c>
      <c r="L392" s="3"/>
      <c r="M392" s="3">
        <v>8</v>
      </c>
      <c r="N392" s="3" t="s">
        <v>358</v>
      </c>
      <c r="O392" s="3" t="s">
        <v>60</v>
      </c>
      <c r="P392" s="3"/>
    </row>
    <row r="393" spans="1:16" ht="14" customHeight="1">
      <c r="A393" s="4" t="s">
        <v>1529</v>
      </c>
      <c r="B393" s="4" t="s">
        <v>1499</v>
      </c>
      <c r="C393" s="4"/>
      <c r="D393" s="4" t="s">
        <v>1165</v>
      </c>
      <c r="E393" s="4" t="s">
        <v>1530</v>
      </c>
      <c r="F393" s="4" t="s">
        <v>162</v>
      </c>
      <c r="G393" s="12">
        <v>3.3</v>
      </c>
      <c r="H393" s="12">
        <v>8970</v>
      </c>
      <c r="I393" s="13">
        <v>29601</v>
      </c>
      <c r="J393" s="9">
        <f t="shared" si="12"/>
        <v>29601</v>
      </c>
      <c r="K393" s="9">
        <f t="shared" si="13"/>
        <v>0</v>
      </c>
      <c r="L393" s="4"/>
      <c r="M393" s="4">
        <v>8</v>
      </c>
      <c r="N393" s="4" t="s">
        <v>358</v>
      </c>
      <c r="O393" s="4" t="s">
        <v>60</v>
      </c>
      <c r="P393" s="4"/>
    </row>
    <row r="394" spans="1:16" ht="14" customHeight="1">
      <c r="A394" s="3" t="s">
        <v>1531</v>
      </c>
      <c r="B394" s="3" t="s">
        <v>1499</v>
      </c>
      <c r="C394" s="3"/>
      <c r="D394" s="3" t="s">
        <v>1168</v>
      </c>
      <c r="E394" s="3" t="s">
        <v>1532</v>
      </c>
      <c r="F394" s="3" t="s">
        <v>166</v>
      </c>
      <c r="G394" s="10">
        <v>1</v>
      </c>
      <c r="H394" s="10">
        <v>33000</v>
      </c>
      <c r="I394" s="11">
        <v>33000</v>
      </c>
      <c r="J394" s="8">
        <f t="shared" si="12"/>
        <v>33000</v>
      </c>
      <c r="K394" s="8">
        <f t="shared" si="13"/>
        <v>0</v>
      </c>
      <c r="L394" s="3"/>
      <c r="M394" s="3">
        <v>8</v>
      </c>
      <c r="N394" s="3" t="s">
        <v>358</v>
      </c>
      <c r="O394" s="3" t="s">
        <v>60</v>
      </c>
      <c r="P394" s="3"/>
    </row>
    <row r="395" spans="1:16" ht="14" customHeight="1">
      <c r="A395" s="4" t="s">
        <v>1533</v>
      </c>
      <c r="B395" s="4" t="s">
        <v>1499</v>
      </c>
      <c r="C395" s="4"/>
      <c r="D395" s="4" t="s">
        <v>1171</v>
      </c>
      <c r="E395" s="4" t="s">
        <v>1534</v>
      </c>
      <c r="F395" s="4" t="s">
        <v>162</v>
      </c>
      <c r="G395" s="12">
        <v>13</v>
      </c>
      <c r="H395" s="12">
        <v>10400</v>
      </c>
      <c r="I395" s="13">
        <v>135200</v>
      </c>
      <c r="J395" s="9">
        <f t="shared" si="12"/>
        <v>135200</v>
      </c>
      <c r="K395" s="9">
        <f t="shared" si="13"/>
        <v>0</v>
      </c>
      <c r="L395" s="4"/>
      <c r="M395" s="4">
        <v>8</v>
      </c>
      <c r="N395" s="4" t="s">
        <v>358</v>
      </c>
      <c r="O395" s="4" t="s">
        <v>60</v>
      </c>
      <c r="P395" s="4"/>
    </row>
    <row r="396" spans="1:16" ht="14" customHeight="1">
      <c r="A396" s="3" t="s">
        <v>1535</v>
      </c>
      <c r="B396" s="3" t="s">
        <v>1499</v>
      </c>
      <c r="C396" s="3"/>
      <c r="D396" s="3" t="s">
        <v>1175</v>
      </c>
      <c r="E396" s="3" t="s">
        <v>1536</v>
      </c>
      <c r="F396" s="3" t="s">
        <v>1537</v>
      </c>
      <c r="G396" s="10">
        <v>1</v>
      </c>
      <c r="H396" s="10">
        <v>1550</v>
      </c>
      <c r="I396" s="11">
        <v>1550</v>
      </c>
      <c r="J396" s="8">
        <f t="shared" si="12"/>
        <v>1550</v>
      </c>
      <c r="K396" s="8">
        <f t="shared" si="13"/>
        <v>0</v>
      </c>
      <c r="L396" s="3"/>
      <c r="M396" s="3">
        <v>8</v>
      </c>
      <c r="N396" s="3" t="s">
        <v>358</v>
      </c>
      <c r="O396" s="3" t="s">
        <v>60</v>
      </c>
      <c r="P396" s="3"/>
    </row>
    <row r="397" spans="1:16" ht="14" customHeight="1">
      <c r="A397" s="4" t="s">
        <v>1538</v>
      </c>
      <c r="B397" s="4" t="s">
        <v>1499</v>
      </c>
      <c r="C397" s="4"/>
      <c r="D397" s="4" t="s">
        <v>1178</v>
      </c>
      <c r="E397" s="4" t="s">
        <v>1539</v>
      </c>
      <c r="F397" s="4" t="s">
        <v>357</v>
      </c>
      <c r="G397" s="12">
        <v>1</v>
      </c>
      <c r="H397" s="12"/>
      <c r="I397" s="13"/>
      <c r="J397" s="9" t="str">
        <f t="shared" si="12"/>
        <v/>
      </c>
      <c r="K397" s="9" t="str">
        <f t="shared" si="13"/>
        <v/>
      </c>
      <c r="L397" s="4" t="s">
        <v>1540</v>
      </c>
      <c r="M397" s="4">
        <v>8</v>
      </c>
      <c r="N397" s="4" t="s">
        <v>358</v>
      </c>
      <c r="O397" s="4" t="s">
        <v>60</v>
      </c>
      <c r="P397" s="4" t="s">
        <v>1138</v>
      </c>
    </row>
    <row r="398" spans="1:16" ht="14" customHeight="1">
      <c r="A398" s="3" t="s">
        <v>1541</v>
      </c>
      <c r="B398" s="3" t="s">
        <v>1499</v>
      </c>
      <c r="C398" s="3"/>
      <c r="D398" s="3" t="s">
        <v>1408</v>
      </c>
      <c r="E398" s="3" t="s">
        <v>1542</v>
      </c>
      <c r="F398" s="3" t="s">
        <v>1543</v>
      </c>
      <c r="G398" s="10">
        <v>5</v>
      </c>
      <c r="H398" s="10">
        <v>1400</v>
      </c>
      <c r="I398" s="11">
        <v>7000</v>
      </c>
      <c r="J398" s="8">
        <f t="shared" si="12"/>
        <v>7000</v>
      </c>
      <c r="K398" s="8">
        <f t="shared" si="13"/>
        <v>0</v>
      </c>
      <c r="L398" s="3"/>
      <c r="M398" s="3">
        <v>8</v>
      </c>
      <c r="N398" s="3" t="s">
        <v>358</v>
      </c>
      <c r="O398" s="3" t="s">
        <v>60</v>
      </c>
      <c r="P398" s="3"/>
    </row>
    <row r="399" spans="1:16" ht="14" customHeight="1">
      <c r="A399" s="4" t="s">
        <v>1544</v>
      </c>
      <c r="B399" s="4" t="s">
        <v>1499</v>
      </c>
      <c r="C399" s="4"/>
      <c r="D399" s="4" t="s">
        <v>1412</v>
      </c>
      <c r="E399" s="4" t="s">
        <v>1545</v>
      </c>
      <c r="F399" s="4" t="s">
        <v>1543</v>
      </c>
      <c r="G399" s="12">
        <v>3</v>
      </c>
      <c r="H399" s="12">
        <v>1520</v>
      </c>
      <c r="I399" s="13">
        <v>4560</v>
      </c>
      <c r="J399" s="9">
        <f t="shared" si="12"/>
        <v>4560</v>
      </c>
      <c r="K399" s="9">
        <f t="shared" si="13"/>
        <v>0</v>
      </c>
      <c r="L399" s="4"/>
      <c r="M399" s="4">
        <v>8</v>
      </c>
      <c r="N399" s="4" t="s">
        <v>358</v>
      </c>
      <c r="O399" s="4" t="s">
        <v>60</v>
      </c>
      <c r="P399" s="4"/>
    </row>
    <row r="400" spans="1:16" ht="14" customHeight="1">
      <c r="A400" s="3" t="s">
        <v>1546</v>
      </c>
      <c r="B400" s="3" t="s">
        <v>1499</v>
      </c>
      <c r="C400" s="3"/>
      <c r="D400" s="3" t="s">
        <v>1416</v>
      </c>
      <c r="E400" s="3" t="s">
        <v>1547</v>
      </c>
      <c r="F400" s="3" t="s">
        <v>1543</v>
      </c>
      <c r="G400" s="10">
        <v>1</v>
      </c>
      <c r="H400" s="10">
        <v>3100</v>
      </c>
      <c r="I400" s="11">
        <v>3100</v>
      </c>
      <c r="J400" s="8">
        <f t="shared" si="12"/>
        <v>3100</v>
      </c>
      <c r="K400" s="8">
        <f t="shared" si="13"/>
        <v>0</v>
      </c>
      <c r="L400" s="3"/>
      <c r="M400" s="3">
        <v>8</v>
      </c>
      <c r="N400" s="3" t="s">
        <v>358</v>
      </c>
      <c r="O400" s="3" t="s">
        <v>60</v>
      </c>
      <c r="P400" s="3"/>
    </row>
    <row r="401" spans="1:16" ht="14" customHeight="1">
      <c r="A401" s="4" t="s">
        <v>1548</v>
      </c>
      <c r="B401" s="4" t="s">
        <v>1499</v>
      </c>
      <c r="C401" s="4"/>
      <c r="D401" s="4" t="s">
        <v>1419</v>
      </c>
      <c r="E401" s="4" t="s">
        <v>1549</v>
      </c>
      <c r="F401" s="4" t="s">
        <v>1543</v>
      </c>
      <c r="G401" s="12">
        <v>1</v>
      </c>
      <c r="H401" s="12">
        <v>7300</v>
      </c>
      <c r="I401" s="13">
        <v>7300</v>
      </c>
      <c r="J401" s="9">
        <f t="shared" si="12"/>
        <v>7300</v>
      </c>
      <c r="K401" s="9">
        <f t="shared" si="13"/>
        <v>0</v>
      </c>
      <c r="L401" s="4"/>
      <c r="M401" s="4">
        <v>8</v>
      </c>
      <c r="N401" s="4" t="s">
        <v>358</v>
      </c>
      <c r="O401" s="4" t="s">
        <v>60</v>
      </c>
      <c r="P401" s="4"/>
    </row>
    <row r="402" spans="1:16" ht="14" customHeight="1">
      <c r="A402" s="3" t="s">
        <v>1550</v>
      </c>
      <c r="B402" s="3" t="s">
        <v>1499</v>
      </c>
      <c r="C402" s="3"/>
      <c r="D402" s="3" t="s">
        <v>1423</v>
      </c>
      <c r="E402" s="3" t="s">
        <v>1551</v>
      </c>
      <c r="F402" s="3" t="s">
        <v>162</v>
      </c>
      <c r="G402" s="10">
        <v>118</v>
      </c>
      <c r="H402" s="10">
        <v>1500</v>
      </c>
      <c r="I402" s="11">
        <v>177000</v>
      </c>
      <c r="J402" s="8">
        <f t="shared" si="12"/>
        <v>177000</v>
      </c>
      <c r="K402" s="8">
        <f t="shared" si="13"/>
        <v>0</v>
      </c>
      <c r="L402" s="3"/>
      <c r="M402" s="3">
        <v>8</v>
      </c>
      <c r="N402" s="3" t="s">
        <v>358</v>
      </c>
      <c r="O402" s="3" t="s">
        <v>60</v>
      </c>
      <c r="P402" s="3"/>
    </row>
    <row r="403" spans="1:16" ht="14" customHeight="1">
      <c r="A403" s="4" t="s">
        <v>1552</v>
      </c>
      <c r="B403" s="4" t="s">
        <v>1499</v>
      </c>
      <c r="C403" s="4"/>
      <c r="D403" s="4" t="s">
        <v>1426</v>
      </c>
      <c r="E403" s="4" t="s">
        <v>1553</v>
      </c>
      <c r="F403" s="4" t="s">
        <v>162</v>
      </c>
      <c r="G403" s="12">
        <v>1.9</v>
      </c>
      <c r="H403" s="12">
        <v>2200</v>
      </c>
      <c r="I403" s="13">
        <v>4180</v>
      </c>
      <c r="J403" s="9">
        <f t="shared" si="12"/>
        <v>4180</v>
      </c>
      <c r="K403" s="9">
        <f t="shared" si="13"/>
        <v>0</v>
      </c>
      <c r="L403" s="4" t="s">
        <v>1554</v>
      </c>
      <c r="M403" s="4">
        <v>8</v>
      </c>
      <c r="N403" s="4" t="s">
        <v>358</v>
      </c>
      <c r="O403" s="4" t="s">
        <v>60</v>
      </c>
      <c r="P403" s="4"/>
    </row>
    <row r="404" spans="1:16" ht="14" customHeight="1">
      <c r="A404" s="3" t="s">
        <v>1555</v>
      </c>
      <c r="B404" s="3" t="s">
        <v>1499</v>
      </c>
      <c r="C404" s="3"/>
      <c r="D404" s="3" t="s">
        <v>1429</v>
      </c>
      <c r="E404" s="3" t="s">
        <v>1556</v>
      </c>
      <c r="F404" s="3" t="s">
        <v>162</v>
      </c>
      <c r="G404" s="10">
        <v>7.2</v>
      </c>
      <c r="H404" s="10">
        <v>2200</v>
      </c>
      <c r="I404" s="11">
        <v>15840</v>
      </c>
      <c r="J404" s="8">
        <f t="shared" si="12"/>
        <v>15840</v>
      </c>
      <c r="K404" s="8">
        <f t="shared" si="13"/>
        <v>0</v>
      </c>
      <c r="L404" s="3" t="s">
        <v>1554</v>
      </c>
      <c r="M404" s="3">
        <v>8</v>
      </c>
      <c r="N404" s="3" t="s">
        <v>358</v>
      </c>
      <c r="O404" s="3" t="s">
        <v>60</v>
      </c>
      <c r="P404" s="3"/>
    </row>
    <row r="405" spans="1:16" ht="14" customHeight="1">
      <c r="A405" s="4" t="s">
        <v>1557</v>
      </c>
      <c r="B405" s="4" t="s">
        <v>1499</v>
      </c>
      <c r="C405" s="4"/>
      <c r="D405" s="4" t="s">
        <v>1432</v>
      </c>
      <c r="E405" s="4" t="s">
        <v>1558</v>
      </c>
      <c r="F405" s="4" t="s">
        <v>162</v>
      </c>
      <c r="G405" s="12">
        <v>6.8</v>
      </c>
      <c r="H405" s="12">
        <v>530</v>
      </c>
      <c r="I405" s="13">
        <v>3604</v>
      </c>
      <c r="J405" s="9">
        <f t="shared" si="12"/>
        <v>3604</v>
      </c>
      <c r="K405" s="9">
        <f t="shared" si="13"/>
        <v>0</v>
      </c>
      <c r="L405" s="4"/>
      <c r="M405" s="4">
        <v>8</v>
      </c>
      <c r="N405" s="4" t="s">
        <v>358</v>
      </c>
      <c r="O405" s="4" t="s">
        <v>60</v>
      </c>
      <c r="P405" s="4"/>
    </row>
    <row r="406" spans="1:16" ht="14" customHeight="1">
      <c r="A406" s="3" t="s">
        <v>1559</v>
      </c>
      <c r="B406" s="3" t="s">
        <v>1499</v>
      </c>
      <c r="C406" s="3"/>
      <c r="D406" s="3" t="s">
        <v>1435</v>
      </c>
      <c r="E406" s="3" t="s">
        <v>1560</v>
      </c>
      <c r="F406" s="3" t="s">
        <v>421</v>
      </c>
      <c r="G406" s="10">
        <v>1</v>
      </c>
      <c r="H406" s="10">
        <v>2200</v>
      </c>
      <c r="I406" s="11">
        <v>2200</v>
      </c>
      <c r="J406" s="8">
        <f t="shared" si="12"/>
        <v>2200</v>
      </c>
      <c r="K406" s="8">
        <f t="shared" si="13"/>
        <v>0</v>
      </c>
      <c r="L406" s="3" t="s">
        <v>1561</v>
      </c>
      <c r="M406" s="3">
        <v>8</v>
      </c>
      <c r="N406" s="3" t="s">
        <v>358</v>
      </c>
      <c r="O406" s="3" t="s">
        <v>60</v>
      </c>
      <c r="P406" s="3"/>
    </row>
    <row r="407" spans="1:16" ht="14" customHeight="1">
      <c r="A407" s="4" t="s">
        <v>1562</v>
      </c>
      <c r="B407" s="4" t="s">
        <v>1499</v>
      </c>
      <c r="C407" s="4"/>
      <c r="D407" s="4" t="s">
        <v>1438</v>
      </c>
      <c r="E407" s="4" t="s">
        <v>1563</v>
      </c>
      <c r="F407" s="4" t="s">
        <v>162</v>
      </c>
      <c r="G407" s="12">
        <v>54</v>
      </c>
      <c r="H407" s="12">
        <v>4200</v>
      </c>
      <c r="I407" s="13">
        <v>226800</v>
      </c>
      <c r="J407" s="9">
        <f t="shared" si="12"/>
        <v>226800</v>
      </c>
      <c r="K407" s="9">
        <f t="shared" si="13"/>
        <v>0</v>
      </c>
      <c r="L407" s="4"/>
      <c r="M407" s="4">
        <v>8</v>
      </c>
      <c r="N407" s="4" t="s">
        <v>358</v>
      </c>
      <c r="O407" s="4" t="s">
        <v>60</v>
      </c>
      <c r="P407" s="4"/>
    </row>
    <row r="408" spans="1:16" ht="14" customHeight="1">
      <c r="A408" s="3" t="s">
        <v>1564</v>
      </c>
      <c r="B408" s="3" t="s">
        <v>1499</v>
      </c>
      <c r="C408" s="3"/>
      <c r="D408" s="3" t="s">
        <v>1441</v>
      </c>
      <c r="E408" s="3" t="s">
        <v>1565</v>
      </c>
      <c r="F408" s="3" t="s">
        <v>151</v>
      </c>
      <c r="G408" s="10">
        <v>8</v>
      </c>
      <c r="H408" s="10">
        <v>26900</v>
      </c>
      <c r="I408" s="11">
        <v>215200</v>
      </c>
      <c r="J408" s="8">
        <f t="shared" si="12"/>
        <v>215200</v>
      </c>
      <c r="K408" s="8">
        <f t="shared" si="13"/>
        <v>0</v>
      </c>
      <c r="L408" s="3" t="s">
        <v>1566</v>
      </c>
      <c r="M408" s="3">
        <v>8</v>
      </c>
      <c r="N408" s="3" t="s">
        <v>358</v>
      </c>
      <c r="O408" s="3" t="s">
        <v>60</v>
      </c>
      <c r="P408" s="3"/>
    </row>
    <row r="409" spans="1:16" ht="14" customHeight="1">
      <c r="A409" s="4" t="s">
        <v>1567</v>
      </c>
      <c r="B409" s="4" t="s">
        <v>1499</v>
      </c>
      <c r="C409" s="4"/>
      <c r="D409" s="4" t="s">
        <v>1444</v>
      </c>
      <c r="E409" s="4" t="s">
        <v>1568</v>
      </c>
      <c r="F409" s="4" t="s">
        <v>151</v>
      </c>
      <c r="G409" s="12">
        <v>2</v>
      </c>
      <c r="H409" s="12">
        <v>64900</v>
      </c>
      <c r="I409" s="13">
        <v>129800</v>
      </c>
      <c r="J409" s="9">
        <f t="shared" si="12"/>
        <v>129800</v>
      </c>
      <c r="K409" s="9">
        <f t="shared" si="13"/>
        <v>0</v>
      </c>
      <c r="L409" s="4" t="s">
        <v>1569</v>
      </c>
      <c r="M409" s="4">
        <v>8</v>
      </c>
      <c r="N409" s="4" t="s">
        <v>358</v>
      </c>
      <c r="O409" s="4" t="s">
        <v>60</v>
      </c>
      <c r="P409" s="4"/>
    </row>
    <row r="410" spans="1:16" ht="14" customHeight="1">
      <c r="A410" s="3" t="s">
        <v>1570</v>
      </c>
      <c r="B410" s="3" t="s">
        <v>1499</v>
      </c>
      <c r="C410" s="3"/>
      <c r="D410" s="3" t="s">
        <v>1448</v>
      </c>
      <c r="E410" s="3" t="s">
        <v>1571</v>
      </c>
      <c r="F410" s="3" t="s">
        <v>438</v>
      </c>
      <c r="G410" s="10">
        <v>3</v>
      </c>
      <c r="H410" s="10">
        <v>270</v>
      </c>
      <c r="I410" s="11">
        <v>810</v>
      </c>
      <c r="J410" s="8">
        <f t="shared" si="12"/>
        <v>810</v>
      </c>
      <c r="K410" s="8">
        <f t="shared" si="13"/>
        <v>0</v>
      </c>
      <c r="L410" s="3"/>
      <c r="M410" s="3">
        <v>8</v>
      </c>
      <c r="N410" s="3" t="s">
        <v>358</v>
      </c>
      <c r="O410" s="3" t="s">
        <v>60</v>
      </c>
      <c r="P410" s="3"/>
    </row>
    <row r="411" spans="1:16" ht="14" customHeight="1">
      <c r="A411" s="4" t="s">
        <v>1572</v>
      </c>
      <c r="B411" s="4" t="s">
        <v>1499</v>
      </c>
      <c r="C411" s="4"/>
      <c r="D411" s="4" t="s">
        <v>1451</v>
      </c>
      <c r="E411" s="4" t="s">
        <v>1573</v>
      </c>
      <c r="F411" s="4" t="s">
        <v>438</v>
      </c>
      <c r="G411" s="12">
        <v>4</v>
      </c>
      <c r="H411" s="12">
        <v>590</v>
      </c>
      <c r="I411" s="13">
        <v>2360</v>
      </c>
      <c r="J411" s="9">
        <f t="shared" si="12"/>
        <v>2360</v>
      </c>
      <c r="K411" s="9">
        <f t="shared" si="13"/>
        <v>0</v>
      </c>
      <c r="L411" s="4"/>
      <c r="M411" s="4">
        <v>8</v>
      </c>
      <c r="N411" s="4" t="s">
        <v>358</v>
      </c>
      <c r="O411" s="4" t="s">
        <v>60</v>
      </c>
      <c r="P411" s="4"/>
    </row>
    <row r="412" spans="1:16" ht="14" customHeight="1">
      <c r="A412" s="3" t="s">
        <v>1574</v>
      </c>
      <c r="B412" s="3" t="s">
        <v>1499</v>
      </c>
      <c r="C412" s="3"/>
      <c r="D412" s="3" t="s">
        <v>1454</v>
      </c>
      <c r="E412" s="3" t="s">
        <v>1575</v>
      </c>
      <c r="F412" s="3" t="s">
        <v>107</v>
      </c>
      <c r="G412" s="10">
        <v>396</v>
      </c>
      <c r="H412" s="10">
        <v>130</v>
      </c>
      <c r="I412" s="11">
        <v>51480</v>
      </c>
      <c r="J412" s="8">
        <f t="shared" si="12"/>
        <v>51480</v>
      </c>
      <c r="K412" s="8">
        <f t="shared" si="13"/>
        <v>0</v>
      </c>
      <c r="L412" s="3"/>
      <c r="M412" s="3">
        <v>8</v>
      </c>
      <c r="N412" s="3" t="s">
        <v>358</v>
      </c>
      <c r="O412" s="3" t="s">
        <v>60</v>
      </c>
      <c r="P412" s="3"/>
    </row>
    <row r="413" spans="1:16" ht="14" customHeight="1">
      <c r="A413" s="4" t="s">
        <v>1576</v>
      </c>
      <c r="B413" s="4" t="s">
        <v>1499</v>
      </c>
      <c r="C413" s="4"/>
      <c r="D413" s="4" t="s">
        <v>1457</v>
      </c>
      <c r="E413" s="4" t="s">
        <v>1577</v>
      </c>
      <c r="F413" s="4" t="s">
        <v>107</v>
      </c>
      <c r="G413" s="12">
        <v>271</v>
      </c>
      <c r="H413" s="12">
        <v>330</v>
      </c>
      <c r="I413" s="13">
        <v>89430</v>
      </c>
      <c r="J413" s="9">
        <f t="shared" si="12"/>
        <v>89430</v>
      </c>
      <c r="K413" s="9">
        <f t="shared" si="13"/>
        <v>0</v>
      </c>
      <c r="L413" s="4"/>
      <c r="M413" s="4">
        <v>8</v>
      </c>
      <c r="N413" s="4" t="s">
        <v>358</v>
      </c>
      <c r="O413" s="4" t="s">
        <v>60</v>
      </c>
      <c r="P413" s="4"/>
    </row>
    <row r="414" spans="1:16" ht="14" customHeight="1">
      <c r="A414" s="3" t="s">
        <v>1578</v>
      </c>
      <c r="B414" s="3" t="s">
        <v>1499</v>
      </c>
      <c r="C414" s="3"/>
      <c r="D414" s="3" t="s">
        <v>1460</v>
      </c>
      <c r="E414" s="3" t="s">
        <v>1579</v>
      </c>
      <c r="F414" s="3" t="s">
        <v>1580</v>
      </c>
      <c r="G414" s="10">
        <v>1</v>
      </c>
      <c r="H414" s="10">
        <v>2100</v>
      </c>
      <c r="I414" s="11">
        <v>2100</v>
      </c>
      <c r="J414" s="8">
        <f t="shared" si="12"/>
        <v>2100</v>
      </c>
      <c r="K414" s="8">
        <f t="shared" si="13"/>
        <v>0</v>
      </c>
      <c r="L414" s="3"/>
      <c r="M414" s="3">
        <v>9</v>
      </c>
      <c r="N414" s="3" t="s">
        <v>358</v>
      </c>
      <c r="O414" s="3" t="s">
        <v>60</v>
      </c>
      <c r="P414" s="3"/>
    </row>
    <row r="415" spans="1:16" ht="14" customHeight="1">
      <c r="A415" s="4" t="s">
        <v>1581</v>
      </c>
      <c r="B415" s="4" t="s">
        <v>1499</v>
      </c>
      <c r="C415" s="4"/>
      <c r="D415" s="4" t="s">
        <v>1463</v>
      </c>
      <c r="E415" s="4" t="s">
        <v>1582</v>
      </c>
      <c r="F415" s="4" t="s">
        <v>1583</v>
      </c>
      <c r="G415" s="12">
        <v>7</v>
      </c>
      <c r="H415" s="12">
        <v>620</v>
      </c>
      <c r="I415" s="13">
        <v>4340</v>
      </c>
      <c r="J415" s="9">
        <f t="shared" si="12"/>
        <v>4340</v>
      </c>
      <c r="K415" s="9">
        <f t="shared" si="13"/>
        <v>0</v>
      </c>
      <c r="L415" s="4"/>
      <c r="M415" s="4">
        <v>9</v>
      </c>
      <c r="N415" s="4" t="s">
        <v>358</v>
      </c>
      <c r="O415" s="4" t="s">
        <v>60</v>
      </c>
      <c r="P415" s="4"/>
    </row>
    <row r="416" spans="1:16" ht="14" customHeight="1">
      <c r="A416" s="3" t="s">
        <v>1584</v>
      </c>
      <c r="B416" s="3" t="s">
        <v>1091</v>
      </c>
      <c r="C416" s="3"/>
      <c r="D416" s="3" t="s">
        <v>1585</v>
      </c>
      <c r="E416" s="3" t="s">
        <v>1091</v>
      </c>
      <c r="F416" s="3" t="s">
        <v>357</v>
      </c>
      <c r="G416" s="10">
        <v>1</v>
      </c>
      <c r="H416" s="10">
        <v>1219893</v>
      </c>
      <c r="I416" s="11">
        <v>1219893</v>
      </c>
      <c r="J416" s="8">
        <f t="shared" si="12"/>
        <v>1219893</v>
      </c>
      <c r="K416" s="8">
        <f t="shared" si="13"/>
        <v>0</v>
      </c>
      <c r="L416" s="3" t="s">
        <v>1586</v>
      </c>
      <c r="M416" s="3">
        <v>1</v>
      </c>
      <c r="N416" s="3" t="s">
        <v>1093</v>
      </c>
      <c r="O416" s="3" t="s">
        <v>62</v>
      </c>
      <c r="P416" s="3"/>
    </row>
    <row r="417" spans="1:16" ht="14" customHeight="1">
      <c r="A417" s="4" t="s">
        <v>1587</v>
      </c>
      <c r="B417" s="4" t="s">
        <v>1588</v>
      </c>
      <c r="C417" s="4"/>
      <c r="D417" s="4" t="s">
        <v>1589</v>
      </c>
      <c r="E417" s="4" t="s">
        <v>1588</v>
      </c>
      <c r="F417" s="4" t="s">
        <v>357</v>
      </c>
      <c r="G417" s="12">
        <v>1</v>
      </c>
      <c r="H417" s="12">
        <v>1219893</v>
      </c>
      <c r="I417" s="13">
        <v>1219893</v>
      </c>
      <c r="J417" s="9">
        <f t="shared" si="12"/>
        <v>1219893</v>
      </c>
      <c r="K417" s="9">
        <f t="shared" si="13"/>
        <v>0</v>
      </c>
      <c r="L417" s="4" t="s">
        <v>1586</v>
      </c>
      <c r="M417" s="4">
        <v>1</v>
      </c>
      <c r="N417" s="4" t="s">
        <v>1093</v>
      </c>
      <c r="O417" s="4" t="s">
        <v>62</v>
      </c>
      <c r="P417" s="4"/>
    </row>
    <row r="418" spans="1:16" ht="14" customHeight="1">
      <c r="A418" s="3" t="s">
        <v>1590</v>
      </c>
      <c r="B418" s="3" t="s">
        <v>1591</v>
      </c>
      <c r="C418" s="3"/>
      <c r="D418" s="3" t="s">
        <v>1592</v>
      </c>
      <c r="E418" s="3" t="s">
        <v>1591</v>
      </c>
      <c r="F418" s="3" t="s">
        <v>357</v>
      </c>
      <c r="G418" s="10">
        <v>1</v>
      </c>
      <c r="H418" s="10">
        <v>487957</v>
      </c>
      <c r="I418" s="11">
        <v>487957</v>
      </c>
      <c r="J418" s="8">
        <f t="shared" si="12"/>
        <v>487957</v>
      </c>
      <c r="K418" s="8">
        <f t="shared" si="13"/>
        <v>0</v>
      </c>
      <c r="L418" s="3" t="s">
        <v>1586</v>
      </c>
      <c r="M418" s="3">
        <v>1</v>
      </c>
      <c r="N418" s="3" t="s">
        <v>1093</v>
      </c>
      <c r="O418" s="3" t="s">
        <v>62</v>
      </c>
      <c r="P418" s="3"/>
    </row>
    <row r="419" spans="1:16" ht="14" customHeight="1">
      <c r="A419" s="4" t="s">
        <v>1593</v>
      </c>
      <c r="B419" s="4" t="s">
        <v>64</v>
      </c>
      <c r="C419" s="4"/>
      <c r="D419" s="4" t="s">
        <v>1594</v>
      </c>
      <c r="E419" s="4" t="s">
        <v>64</v>
      </c>
      <c r="F419" s="4" t="s">
        <v>357</v>
      </c>
      <c r="G419" s="12">
        <v>1</v>
      </c>
      <c r="H419" s="12">
        <v>11654379</v>
      </c>
      <c r="I419" s="13">
        <v>11654379</v>
      </c>
      <c r="J419" s="9">
        <f t="shared" si="12"/>
        <v>11654379</v>
      </c>
      <c r="K419" s="9">
        <f t="shared" si="13"/>
        <v>0</v>
      </c>
      <c r="L419" s="4" t="s">
        <v>1586</v>
      </c>
      <c r="M419" s="4">
        <v>1</v>
      </c>
      <c r="N419" s="4" t="s">
        <v>1093</v>
      </c>
      <c r="O419" s="4" t="s">
        <v>64</v>
      </c>
      <c r="P419" s="4"/>
    </row>
    <row r="420" spans="1:16" ht="14" customHeight="1">
      <c r="A420" s="3" t="s">
        <v>1595</v>
      </c>
      <c r="B420" s="3" t="s">
        <v>1596</v>
      </c>
      <c r="C420" s="3"/>
      <c r="D420" s="3" t="s">
        <v>1597</v>
      </c>
      <c r="E420" s="3" t="s">
        <v>1596</v>
      </c>
      <c r="F420" s="3" t="s">
        <v>357</v>
      </c>
      <c r="G420" s="10">
        <v>1</v>
      </c>
      <c r="H420" s="10">
        <v>6828571</v>
      </c>
      <c r="I420" s="11">
        <v>6828571</v>
      </c>
      <c r="J420" s="8">
        <f t="shared" si="12"/>
        <v>6828571</v>
      </c>
      <c r="K420" s="8">
        <f t="shared" si="13"/>
        <v>0</v>
      </c>
      <c r="L420" s="3" t="s">
        <v>1586</v>
      </c>
      <c r="M420" s="3">
        <v>1</v>
      </c>
      <c r="N420" s="3" t="s">
        <v>1093</v>
      </c>
      <c r="O420" s="3" t="s">
        <v>66</v>
      </c>
      <c r="P420" s="3"/>
    </row>
    <row r="421" spans="1:16" ht="14" customHeight="1">
      <c r="A421" s="4" t="s">
        <v>1598</v>
      </c>
      <c r="B421" s="4" t="s">
        <v>50</v>
      </c>
      <c r="C421" s="4"/>
      <c r="D421" s="4" t="s">
        <v>1123</v>
      </c>
      <c r="E421" s="4" t="s">
        <v>1599</v>
      </c>
      <c r="F421" s="4" t="s">
        <v>357</v>
      </c>
      <c r="G421" s="12">
        <v>1</v>
      </c>
      <c r="H421" s="12">
        <v>120000</v>
      </c>
      <c r="I421" s="13">
        <v>120000</v>
      </c>
      <c r="J421" s="9">
        <f t="shared" si="12"/>
        <v>120000</v>
      </c>
      <c r="K421" s="9">
        <f t="shared" si="13"/>
        <v>0</v>
      </c>
      <c r="L421" s="4"/>
      <c r="M421" s="4">
        <v>2</v>
      </c>
      <c r="N421" s="4" t="s">
        <v>358</v>
      </c>
      <c r="O421" s="4" t="s">
        <v>50</v>
      </c>
      <c r="P421" s="4"/>
    </row>
    <row r="422" spans="1:16" ht="14" customHeight="1">
      <c r="A422" s="3" t="s">
        <v>1600</v>
      </c>
      <c r="B422" s="3" t="s">
        <v>50</v>
      </c>
      <c r="C422" s="3"/>
      <c r="D422" s="3" t="s">
        <v>1126</v>
      </c>
      <c r="E422" s="3" t="s">
        <v>1601</v>
      </c>
      <c r="F422" s="3" t="s">
        <v>162</v>
      </c>
      <c r="G422" s="10">
        <v>308.81</v>
      </c>
      <c r="H422" s="10">
        <v>1850</v>
      </c>
      <c r="I422" s="11">
        <v>571299</v>
      </c>
      <c r="J422" s="8">
        <f t="shared" si="12"/>
        <v>571299</v>
      </c>
      <c r="K422" s="8">
        <f t="shared" si="13"/>
        <v>0</v>
      </c>
      <c r="L422" s="3"/>
      <c r="M422" s="3">
        <v>2</v>
      </c>
      <c r="N422" s="3" t="s">
        <v>358</v>
      </c>
      <c r="O422" s="3" t="s">
        <v>50</v>
      </c>
      <c r="P422" s="3"/>
    </row>
    <row r="423" spans="1:16" ht="14" customHeight="1">
      <c r="A423" s="4" t="s">
        <v>1602</v>
      </c>
      <c r="B423" s="4" t="s">
        <v>50</v>
      </c>
      <c r="C423" s="4"/>
      <c r="D423" s="4" t="s">
        <v>1129</v>
      </c>
      <c r="E423" s="4" t="s">
        <v>1603</v>
      </c>
      <c r="F423" s="4" t="s">
        <v>151</v>
      </c>
      <c r="G423" s="12">
        <v>1</v>
      </c>
      <c r="H423" s="12">
        <v>25000</v>
      </c>
      <c r="I423" s="13">
        <v>25000</v>
      </c>
      <c r="J423" s="9">
        <f t="shared" si="12"/>
        <v>25000</v>
      </c>
      <c r="K423" s="9">
        <f t="shared" si="13"/>
        <v>0</v>
      </c>
      <c r="L423" s="4"/>
      <c r="M423" s="4">
        <v>2</v>
      </c>
      <c r="N423" s="4" t="s">
        <v>358</v>
      </c>
      <c r="O423" s="4" t="s">
        <v>50</v>
      </c>
      <c r="P423" s="4"/>
    </row>
    <row r="424" spans="1:16" ht="14" customHeight="1">
      <c r="A424" s="3" t="s">
        <v>1604</v>
      </c>
      <c r="B424" s="3" t="s">
        <v>50</v>
      </c>
      <c r="C424" s="3"/>
      <c r="D424" s="3" t="s">
        <v>1132</v>
      </c>
      <c r="E424" s="3" t="s">
        <v>1605</v>
      </c>
      <c r="F424" s="3" t="s">
        <v>357</v>
      </c>
      <c r="G424" s="10">
        <v>1</v>
      </c>
      <c r="H424" s="10">
        <v>15000</v>
      </c>
      <c r="I424" s="11">
        <v>15000</v>
      </c>
      <c r="J424" s="8">
        <f t="shared" si="12"/>
        <v>15000</v>
      </c>
      <c r="K424" s="8">
        <f t="shared" si="13"/>
        <v>0</v>
      </c>
      <c r="L424" s="3"/>
      <c r="M424" s="3">
        <v>2</v>
      </c>
      <c r="N424" s="3" t="s">
        <v>358</v>
      </c>
      <c r="O424" s="3" t="s">
        <v>50</v>
      </c>
      <c r="P424" s="3"/>
    </row>
    <row r="425" spans="1:16" ht="14" customHeight="1">
      <c r="A425" s="4" t="s">
        <v>1606</v>
      </c>
      <c r="B425" s="4" t="s">
        <v>50</v>
      </c>
      <c r="C425" s="4"/>
      <c r="D425" s="4" t="s">
        <v>1135</v>
      </c>
      <c r="E425" s="4" t="s">
        <v>1607</v>
      </c>
      <c r="F425" s="4" t="s">
        <v>151</v>
      </c>
      <c r="G425" s="12">
        <v>2</v>
      </c>
      <c r="H425" s="12">
        <v>15000</v>
      </c>
      <c r="I425" s="13">
        <v>30000</v>
      </c>
      <c r="J425" s="9">
        <f t="shared" si="12"/>
        <v>30000</v>
      </c>
      <c r="K425" s="9">
        <f t="shared" si="13"/>
        <v>0</v>
      </c>
      <c r="L425" s="4"/>
      <c r="M425" s="4">
        <v>2</v>
      </c>
      <c r="N425" s="4" t="s">
        <v>358</v>
      </c>
      <c r="O425" s="4" t="s">
        <v>50</v>
      </c>
      <c r="P425" s="4"/>
    </row>
    <row r="426" spans="1:16" ht="14" customHeight="1">
      <c r="A426" s="3" t="s">
        <v>1608</v>
      </c>
      <c r="B426" s="3" t="s">
        <v>50</v>
      </c>
      <c r="C426" s="3"/>
      <c r="D426" s="3" t="s">
        <v>1140</v>
      </c>
      <c r="E426" s="3" t="s">
        <v>1609</v>
      </c>
      <c r="F426" s="3" t="s">
        <v>357</v>
      </c>
      <c r="G426" s="10">
        <v>1</v>
      </c>
      <c r="H426" s="10"/>
      <c r="I426" s="11"/>
      <c r="J426" s="8" t="str">
        <f t="shared" si="12"/>
        <v/>
      </c>
      <c r="K426" s="8" t="str">
        <f t="shared" si="13"/>
        <v/>
      </c>
      <c r="L426" s="3" t="s">
        <v>1610</v>
      </c>
      <c r="M426" s="3">
        <v>2</v>
      </c>
      <c r="N426" s="3" t="s">
        <v>358</v>
      </c>
      <c r="O426" s="3" t="s">
        <v>50</v>
      </c>
      <c r="P426" s="3" t="s">
        <v>1138</v>
      </c>
    </row>
    <row r="427" spans="1:16" ht="14" customHeight="1">
      <c r="A427" s="4" t="s">
        <v>1611</v>
      </c>
      <c r="B427" s="4" t="s">
        <v>50</v>
      </c>
      <c r="C427" s="4"/>
      <c r="D427" s="4" t="s">
        <v>1143</v>
      </c>
      <c r="E427" s="4" t="s">
        <v>1612</v>
      </c>
      <c r="F427" s="4" t="s">
        <v>1613</v>
      </c>
      <c r="G427" s="12">
        <v>1</v>
      </c>
      <c r="H427" s="12"/>
      <c r="I427" s="13"/>
      <c r="J427" s="9" t="str">
        <f t="shared" si="12"/>
        <v/>
      </c>
      <c r="K427" s="9" t="str">
        <f t="shared" si="13"/>
        <v/>
      </c>
      <c r="L427" s="4" t="s">
        <v>1614</v>
      </c>
      <c r="M427" s="4">
        <v>2</v>
      </c>
      <c r="N427" s="4" t="s">
        <v>358</v>
      </c>
      <c r="O427" s="4" t="s">
        <v>50</v>
      </c>
      <c r="P427" s="4" t="s">
        <v>1138</v>
      </c>
    </row>
    <row r="428" spans="1:16" ht="14" customHeight="1">
      <c r="A428" s="3" t="s">
        <v>1615</v>
      </c>
      <c r="B428" s="3" t="s">
        <v>50</v>
      </c>
      <c r="C428" s="3"/>
      <c r="D428" s="3" t="s">
        <v>1146</v>
      </c>
      <c r="E428" s="3" t="s">
        <v>1616</v>
      </c>
      <c r="F428" s="3" t="s">
        <v>1154</v>
      </c>
      <c r="G428" s="10">
        <v>1182.8900000000001</v>
      </c>
      <c r="H428" s="10">
        <v>500</v>
      </c>
      <c r="I428" s="11">
        <v>591445</v>
      </c>
      <c r="J428" s="8">
        <f t="shared" si="12"/>
        <v>591445</v>
      </c>
      <c r="K428" s="8">
        <f t="shared" si="13"/>
        <v>0</v>
      </c>
      <c r="L428" s="3"/>
      <c r="M428" s="3">
        <v>2</v>
      </c>
      <c r="N428" s="3" t="s">
        <v>358</v>
      </c>
      <c r="O428" s="3" t="s">
        <v>50</v>
      </c>
      <c r="P428" s="3"/>
    </row>
    <row r="429" spans="1:16" ht="14" customHeight="1">
      <c r="A429" s="4" t="s">
        <v>1617</v>
      </c>
      <c r="B429" s="4" t="s">
        <v>50</v>
      </c>
      <c r="C429" s="4"/>
      <c r="D429" s="4" t="s">
        <v>1149</v>
      </c>
      <c r="E429" s="4" t="s">
        <v>1618</v>
      </c>
      <c r="F429" s="4" t="s">
        <v>1154</v>
      </c>
      <c r="G429" s="12">
        <v>1182.8900000000001</v>
      </c>
      <c r="H429" s="12">
        <v>350</v>
      </c>
      <c r="I429" s="13">
        <v>414012</v>
      </c>
      <c r="J429" s="9">
        <f t="shared" si="12"/>
        <v>414012</v>
      </c>
      <c r="K429" s="9">
        <f t="shared" si="13"/>
        <v>0</v>
      </c>
      <c r="L429" s="4"/>
      <c r="M429" s="4">
        <v>2</v>
      </c>
      <c r="N429" s="4" t="s">
        <v>358</v>
      </c>
      <c r="O429" s="4" t="s">
        <v>50</v>
      </c>
      <c r="P429" s="4"/>
    </row>
    <row r="430" spans="1:16" ht="14" customHeight="1">
      <c r="A430" s="3" t="s">
        <v>1619</v>
      </c>
      <c r="B430" s="3" t="s">
        <v>50</v>
      </c>
      <c r="C430" s="3"/>
      <c r="D430" s="3" t="s">
        <v>1152</v>
      </c>
      <c r="E430" s="3" t="s">
        <v>1620</v>
      </c>
      <c r="F430" s="3" t="s">
        <v>357</v>
      </c>
      <c r="G430" s="10">
        <v>1</v>
      </c>
      <c r="H430" s="10">
        <v>80000</v>
      </c>
      <c r="I430" s="11">
        <v>80000</v>
      </c>
      <c r="J430" s="8">
        <f t="shared" si="12"/>
        <v>80000</v>
      </c>
      <c r="K430" s="8">
        <f t="shared" si="13"/>
        <v>0</v>
      </c>
      <c r="L430" s="3"/>
      <c r="M430" s="3">
        <v>2</v>
      </c>
      <c r="N430" s="3" t="s">
        <v>358</v>
      </c>
      <c r="O430" s="3" t="s">
        <v>50</v>
      </c>
      <c r="P430" s="3"/>
    </row>
    <row r="431" spans="1:16" ht="14" customHeight="1">
      <c r="A431" s="4" t="s">
        <v>1621</v>
      </c>
      <c r="B431" s="4" t="s">
        <v>50</v>
      </c>
      <c r="C431" s="4"/>
      <c r="D431" s="4" t="s">
        <v>1156</v>
      </c>
      <c r="E431" s="4" t="s">
        <v>1622</v>
      </c>
      <c r="F431" s="4" t="s">
        <v>357</v>
      </c>
      <c r="G431" s="12">
        <v>1</v>
      </c>
      <c r="H431" s="12">
        <v>50000</v>
      </c>
      <c r="I431" s="13">
        <v>50000</v>
      </c>
      <c r="J431" s="9">
        <f t="shared" si="12"/>
        <v>50000</v>
      </c>
      <c r="K431" s="9">
        <f t="shared" si="13"/>
        <v>0</v>
      </c>
      <c r="L431" s="4"/>
      <c r="M431" s="4">
        <v>2</v>
      </c>
      <c r="N431" s="4" t="s">
        <v>358</v>
      </c>
      <c r="O431" s="4" t="s">
        <v>50</v>
      </c>
      <c r="P431" s="4"/>
    </row>
    <row r="432" spans="1:16" ht="14" customHeight="1">
      <c r="A432" s="3" t="s">
        <v>1623</v>
      </c>
      <c r="B432" s="3" t="s">
        <v>50</v>
      </c>
      <c r="C432" s="3"/>
      <c r="D432" s="3" t="s">
        <v>1159</v>
      </c>
      <c r="E432" s="3" t="s">
        <v>1624</v>
      </c>
      <c r="F432" s="3" t="s">
        <v>357</v>
      </c>
      <c r="G432" s="10">
        <v>1</v>
      </c>
      <c r="H432" s="10">
        <v>150000</v>
      </c>
      <c r="I432" s="11">
        <v>150000</v>
      </c>
      <c r="J432" s="8">
        <f t="shared" si="12"/>
        <v>150000</v>
      </c>
      <c r="K432" s="8">
        <f t="shared" si="13"/>
        <v>0</v>
      </c>
      <c r="L432" s="3"/>
      <c r="M432" s="3">
        <v>2</v>
      </c>
      <c r="N432" s="3" t="s">
        <v>358</v>
      </c>
      <c r="O432" s="3" t="s">
        <v>50</v>
      </c>
      <c r="P432" s="3"/>
    </row>
    <row r="433" spans="1:16" ht="14" customHeight="1">
      <c r="A433" s="4" t="s">
        <v>1625</v>
      </c>
      <c r="B433" s="4" t="s">
        <v>50</v>
      </c>
      <c r="C433" s="4"/>
      <c r="D433" s="4" t="s">
        <v>1162</v>
      </c>
      <c r="E433" s="4" t="s">
        <v>1626</v>
      </c>
      <c r="F433" s="4" t="s">
        <v>357</v>
      </c>
      <c r="G433" s="12">
        <v>1</v>
      </c>
      <c r="H433" s="12">
        <v>500000</v>
      </c>
      <c r="I433" s="13">
        <v>500000</v>
      </c>
      <c r="J433" s="9">
        <f t="shared" si="12"/>
        <v>500000</v>
      </c>
      <c r="K433" s="9">
        <f t="shared" si="13"/>
        <v>0</v>
      </c>
      <c r="L433" s="4"/>
      <c r="M433" s="4">
        <v>2</v>
      </c>
      <c r="N433" s="4" t="s">
        <v>358</v>
      </c>
      <c r="O433" s="4" t="s">
        <v>50</v>
      </c>
      <c r="P433" s="4"/>
    </row>
    <row r="434" spans="1:16" ht="14" customHeight="1">
      <c r="A434" s="3" t="s">
        <v>1627</v>
      </c>
      <c r="B434" s="3" t="s">
        <v>50</v>
      </c>
      <c r="C434" s="3"/>
      <c r="D434" s="3" t="s">
        <v>1165</v>
      </c>
      <c r="E434" s="3" t="s">
        <v>1628</v>
      </c>
      <c r="F434" s="3" t="s">
        <v>357</v>
      </c>
      <c r="G434" s="10">
        <v>1</v>
      </c>
      <c r="H434" s="10">
        <v>300000</v>
      </c>
      <c r="I434" s="11">
        <v>300000</v>
      </c>
      <c r="J434" s="8">
        <f t="shared" si="12"/>
        <v>300000</v>
      </c>
      <c r="K434" s="8">
        <f t="shared" si="13"/>
        <v>0</v>
      </c>
      <c r="L434" s="3"/>
      <c r="M434" s="3">
        <v>2</v>
      </c>
      <c r="N434" s="3" t="s">
        <v>358</v>
      </c>
      <c r="O434" s="3" t="s">
        <v>50</v>
      </c>
      <c r="P434" s="3"/>
    </row>
    <row r="435" spans="1:16" ht="14" customHeight="1">
      <c r="A435" s="4" t="s">
        <v>1629</v>
      </c>
      <c r="B435" s="4" t="s">
        <v>50</v>
      </c>
      <c r="C435" s="4"/>
      <c r="D435" s="4" t="s">
        <v>1168</v>
      </c>
      <c r="E435" s="4" t="s">
        <v>1630</v>
      </c>
      <c r="F435" s="4" t="s">
        <v>1631</v>
      </c>
      <c r="G435" s="12">
        <v>5</v>
      </c>
      <c r="H435" s="12">
        <v>15000</v>
      </c>
      <c r="I435" s="13">
        <v>75000</v>
      </c>
      <c r="J435" s="9">
        <f t="shared" si="12"/>
        <v>75000</v>
      </c>
      <c r="K435" s="9">
        <f t="shared" si="13"/>
        <v>0</v>
      </c>
      <c r="L435" s="4"/>
      <c r="M435" s="4">
        <v>2</v>
      </c>
      <c r="N435" s="4" t="s">
        <v>358</v>
      </c>
      <c r="O435" s="4" t="s">
        <v>50</v>
      </c>
      <c r="P435" s="4"/>
    </row>
    <row r="436" spans="1:16" ht="14" customHeight="1">
      <c r="A436" s="3" t="s">
        <v>1632</v>
      </c>
      <c r="B436" s="3" t="s">
        <v>50</v>
      </c>
      <c r="C436" s="3"/>
      <c r="D436" s="3" t="s">
        <v>1171</v>
      </c>
      <c r="E436" s="3" t="s">
        <v>1633</v>
      </c>
      <c r="F436" s="3" t="s">
        <v>87</v>
      </c>
      <c r="G436" s="10">
        <v>485</v>
      </c>
      <c r="H436" s="10">
        <v>4500</v>
      </c>
      <c r="I436" s="11">
        <v>2182500</v>
      </c>
      <c r="J436" s="8">
        <f t="shared" si="12"/>
        <v>2182500</v>
      </c>
      <c r="K436" s="8">
        <f t="shared" si="13"/>
        <v>0</v>
      </c>
      <c r="L436" s="3"/>
      <c r="M436" s="3">
        <v>2</v>
      </c>
      <c r="N436" s="3" t="s">
        <v>358</v>
      </c>
      <c r="O436" s="3" t="s">
        <v>50</v>
      </c>
      <c r="P436" s="3"/>
    </row>
    <row r="437" spans="1:16" ht="14" customHeight="1">
      <c r="A437" s="4" t="s">
        <v>1634</v>
      </c>
      <c r="B437" s="4" t="s">
        <v>50</v>
      </c>
      <c r="C437" s="4"/>
      <c r="D437" s="4" t="s">
        <v>1175</v>
      </c>
      <c r="E437" s="4" t="s">
        <v>1635</v>
      </c>
      <c r="F437" s="4" t="s">
        <v>87</v>
      </c>
      <c r="G437" s="12">
        <v>485</v>
      </c>
      <c r="H437" s="12">
        <v>800</v>
      </c>
      <c r="I437" s="13">
        <v>388000</v>
      </c>
      <c r="J437" s="9">
        <f t="shared" si="12"/>
        <v>388000</v>
      </c>
      <c r="K437" s="9">
        <f t="shared" si="13"/>
        <v>0</v>
      </c>
      <c r="L437" s="4" t="s">
        <v>1636</v>
      </c>
      <c r="M437" s="4">
        <v>2</v>
      </c>
      <c r="N437" s="4" t="s">
        <v>358</v>
      </c>
      <c r="O437" s="4" t="s">
        <v>50</v>
      </c>
      <c r="P437" s="4"/>
    </row>
    <row r="438" spans="1:16" ht="14" customHeight="1">
      <c r="A438" s="3" t="s">
        <v>1637</v>
      </c>
      <c r="B438" s="3" t="s">
        <v>50</v>
      </c>
      <c r="C438" s="3"/>
      <c r="D438" s="3" t="s">
        <v>1178</v>
      </c>
      <c r="E438" s="3" t="s">
        <v>1638</v>
      </c>
      <c r="F438" s="3" t="s">
        <v>357</v>
      </c>
      <c r="G438" s="10">
        <v>1</v>
      </c>
      <c r="H438" s="10">
        <v>75000</v>
      </c>
      <c r="I438" s="11">
        <v>75000</v>
      </c>
      <c r="J438" s="8">
        <f t="shared" si="12"/>
        <v>75000</v>
      </c>
      <c r="K438" s="8">
        <f t="shared" si="13"/>
        <v>0</v>
      </c>
      <c r="L438" s="3" t="s">
        <v>1636</v>
      </c>
      <c r="M438" s="3">
        <v>2</v>
      </c>
      <c r="N438" s="3" t="s">
        <v>358</v>
      </c>
      <c r="O438" s="3" t="s">
        <v>50</v>
      </c>
      <c r="P438" s="3"/>
    </row>
    <row r="439" spans="1:16" ht="14" customHeight="1">
      <c r="A439" s="4" t="s">
        <v>1639</v>
      </c>
      <c r="B439" s="4" t="s">
        <v>50</v>
      </c>
      <c r="C439" s="4"/>
      <c r="D439" s="4" t="s">
        <v>1408</v>
      </c>
      <c r="E439" s="4" t="s">
        <v>1640</v>
      </c>
      <c r="F439" s="4" t="s">
        <v>357</v>
      </c>
      <c r="G439" s="12">
        <v>1</v>
      </c>
      <c r="H439" s="12">
        <v>350000</v>
      </c>
      <c r="I439" s="13">
        <v>350000</v>
      </c>
      <c r="J439" s="9">
        <f t="shared" si="12"/>
        <v>350000</v>
      </c>
      <c r="K439" s="9">
        <f t="shared" si="13"/>
        <v>0</v>
      </c>
      <c r="L439" s="4"/>
      <c r="M439" s="4">
        <v>2</v>
      </c>
      <c r="N439" s="4" t="s">
        <v>358</v>
      </c>
      <c r="O439" s="4" t="s">
        <v>50</v>
      </c>
      <c r="P439" s="4"/>
    </row>
    <row r="440" spans="1:16" ht="14" customHeight="1">
      <c r="A440" s="3" t="s">
        <v>1641</v>
      </c>
      <c r="B440" s="3" t="s">
        <v>50</v>
      </c>
      <c r="C440" s="3"/>
      <c r="D440" s="3" t="s">
        <v>1412</v>
      </c>
      <c r="E440" s="3" t="s">
        <v>1642</v>
      </c>
      <c r="F440" s="3" t="s">
        <v>357</v>
      </c>
      <c r="G440" s="10">
        <v>1</v>
      </c>
      <c r="H440" s="10">
        <v>250000</v>
      </c>
      <c r="I440" s="11">
        <v>250000</v>
      </c>
      <c r="J440" s="8">
        <f t="shared" si="12"/>
        <v>250000</v>
      </c>
      <c r="K440" s="8">
        <f t="shared" si="13"/>
        <v>0</v>
      </c>
      <c r="L440" s="3"/>
      <c r="M440" s="3">
        <v>2</v>
      </c>
      <c r="N440" s="3" t="s">
        <v>358</v>
      </c>
      <c r="O440" s="3" t="s">
        <v>50</v>
      </c>
      <c r="P440" s="3"/>
    </row>
    <row r="441" spans="1:16" ht="14" customHeight="1">
      <c r="A441" s="4" t="s">
        <v>1643</v>
      </c>
      <c r="B441" s="4" t="s">
        <v>50</v>
      </c>
      <c r="C441" s="4"/>
      <c r="D441" s="4" t="s">
        <v>1416</v>
      </c>
      <c r="E441" s="4" t="s">
        <v>1644</v>
      </c>
      <c r="F441" s="4" t="s">
        <v>357</v>
      </c>
      <c r="G441" s="12">
        <v>1</v>
      </c>
      <c r="H441" s="12">
        <v>750000</v>
      </c>
      <c r="I441" s="13">
        <v>750000</v>
      </c>
      <c r="J441" s="9">
        <f t="shared" si="12"/>
        <v>750000</v>
      </c>
      <c r="K441" s="9">
        <f t="shared" si="13"/>
        <v>0</v>
      </c>
      <c r="L441" s="4"/>
      <c r="M441" s="4">
        <v>2</v>
      </c>
      <c r="N441" s="4" t="s">
        <v>358</v>
      </c>
      <c r="O441" s="4" t="s">
        <v>50</v>
      </c>
      <c r="P441" s="4"/>
    </row>
    <row r="442" spans="1:16" ht="14" customHeight="1">
      <c r="A442" s="3" t="s">
        <v>1645</v>
      </c>
      <c r="B442" s="3" t="s">
        <v>470</v>
      </c>
      <c r="C442" s="3"/>
      <c r="D442" s="3" t="s">
        <v>1123</v>
      </c>
      <c r="E442" s="3" t="s">
        <v>1646</v>
      </c>
      <c r="F442" s="3" t="s">
        <v>107</v>
      </c>
      <c r="G442" s="10">
        <v>3903.5</v>
      </c>
      <c r="H442" s="10">
        <v>75</v>
      </c>
      <c r="I442" s="11">
        <v>292763</v>
      </c>
      <c r="J442" s="8">
        <f t="shared" si="12"/>
        <v>292763</v>
      </c>
      <c r="K442" s="8">
        <f t="shared" si="13"/>
        <v>0</v>
      </c>
      <c r="L442" s="3"/>
      <c r="M442" s="3">
        <v>2</v>
      </c>
      <c r="N442" s="3" t="s">
        <v>358</v>
      </c>
      <c r="O442" s="3" t="s">
        <v>52</v>
      </c>
      <c r="P442" s="3"/>
    </row>
    <row r="443" spans="1:16" ht="14" customHeight="1">
      <c r="A443" s="4" t="s">
        <v>1647</v>
      </c>
      <c r="B443" s="4" t="s">
        <v>470</v>
      </c>
      <c r="C443" s="4"/>
      <c r="D443" s="4" t="s">
        <v>1126</v>
      </c>
      <c r="E443" s="4" t="s">
        <v>1185</v>
      </c>
      <c r="F443" s="4" t="s">
        <v>87</v>
      </c>
      <c r="G443" s="12">
        <v>4485</v>
      </c>
      <c r="H443" s="12">
        <v>285</v>
      </c>
      <c r="I443" s="13">
        <v>1278225</v>
      </c>
      <c r="J443" s="9">
        <f t="shared" si="12"/>
        <v>1278225</v>
      </c>
      <c r="K443" s="9">
        <f t="shared" si="13"/>
        <v>0</v>
      </c>
      <c r="L443" s="4"/>
      <c r="M443" s="4">
        <v>2</v>
      </c>
      <c r="N443" s="4" t="s">
        <v>358</v>
      </c>
      <c r="O443" s="4" t="s">
        <v>52</v>
      </c>
      <c r="P443" s="4"/>
    </row>
    <row r="444" spans="1:16" ht="14" customHeight="1">
      <c r="A444" s="3" t="s">
        <v>1648</v>
      </c>
      <c r="B444" s="3" t="s">
        <v>470</v>
      </c>
      <c r="C444" s="3"/>
      <c r="D444" s="3" t="s">
        <v>1129</v>
      </c>
      <c r="E444" s="3" t="s">
        <v>1649</v>
      </c>
      <c r="F444" s="3" t="s">
        <v>87</v>
      </c>
      <c r="G444" s="10">
        <v>425</v>
      </c>
      <c r="H444" s="10">
        <v>3000</v>
      </c>
      <c r="I444" s="11">
        <v>1275000</v>
      </c>
      <c r="J444" s="8">
        <f t="shared" si="12"/>
        <v>1275000</v>
      </c>
      <c r="K444" s="8">
        <f t="shared" si="13"/>
        <v>0</v>
      </c>
      <c r="L444" s="3"/>
      <c r="M444" s="3">
        <v>2</v>
      </c>
      <c r="N444" s="3" t="s">
        <v>358</v>
      </c>
      <c r="O444" s="3" t="s">
        <v>52</v>
      </c>
      <c r="P444" s="3"/>
    </row>
    <row r="445" spans="1:16" ht="14" customHeight="1">
      <c r="A445" s="4" t="s">
        <v>1650</v>
      </c>
      <c r="B445" s="4" t="s">
        <v>470</v>
      </c>
      <c r="C445" s="4"/>
      <c r="D445" s="4" t="s">
        <v>1132</v>
      </c>
      <c r="E445" s="4" t="s">
        <v>1651</v>
      </c>
      <c r="F445" s="4" t="s">
        <v>87</v>
      </c>
      <c r="G445" s="12">
        <v>3250</v>
      </c>
      <c r="H445" s="12">
        <v>285</v>
      </c>
      <c r="I445" s="13">
        <v>926250</v>
      </c>
      <c r="J445" s="9">
        <f t="shared" si="12"/>
        <v>926250</v>
      </c>
      <c r="K445" s="9">
        <f t="shared" si="13"/>
        <v>0</v>
      </c>
      <c r="L445" s="4"/>
      <c r="M445" s="4">
        <v>2</v>
      </c>
      <c r="N445" s="4" t="s">
        <v>358</v>
      </c>
      <c r="O445" s="4" t="s">
        <v>52</v>
      </c>
      <c r="P445" s="4"/>
    </row>
    <row r="446" spans="1:16" ht="14" customHeight="1">
      <c r="A446" s="3" t="s">
        <v>1652</v>
      </c>
      <c r="B446" s="3" t="s">
        <v>470</v>
      </c>
      <c r="C446" s="3"/>
      <c r="D446" s="3" t="s">
        <v>1135</v>
      </c>
      <c r="E446" s="3" t="s">
        <v>1653</v>
      </c>
      <c r="F446" s="3" t="s">
        <v>107</v>
      </c>
      <c r="G446" s="10">
        <v>9185</v>
      </c>
      <c r="H446" s="10">
        <v>1450</v>
      </c>
      <c r="I446" s="11">
        <v>13318250</v>
      </c>
      <c r="J446" s="8">
        <f t="shared" si="12"/>
        <v>13318250</v>
      </c>
      <c r="K446" s="8">
        <f t="shared" si="13"/>
        <v>0</v>
      </c>
      <c r="L446" s="3"/>
      <c r="M446" s="3">
        <v>2</v>
      </c>
      <c r="N446" s="3" t="s">
        <v>358</v>
      </c>
      <c r="O446" s="3" t="s">
        <v>52</v>
      </c>
      <c r="P446" s="3"/>
    </row>
    <row r="447" spans="1:16" ht="14" customHeight="1">
      <c r="A447" s="4" t="s">
        <v>1654</v>
      </c>
      <c r="B447" s="4" t="s">
        <v>470</v>
      </c>
      <c r="C447" s="4"/>
      <c r="D447" s="4" t="s">
        <v>1140</v>
      </c>
      <c r="E447" s="4" t="s">
        <v>1655</v>
      </c>
      <c r="F447" s="4" t="s">
        <v>107</v>
      </c>
      <c r="G447" s="12">
        <v>3525</v>
      </c>
      <c r="H447" s="12">
        <v>1000</v>
      </c>
      <c r="I447" s="13">
        <v>3525000</v>
      </c>
      <c r="J447" s="9">
        <f t="shared" si="12"/>
        <v>3525000</v>
      </c>
      <c r="K447" s="9">
        <f t="shared" si="13"/>
        <v>0</v>
      </c>
      <c r="L447" s="4"/>
      <c r="M447" s="4">
        <v>2</v>
      </c>
      <c r="N447" s="4" t="s">
        <v>358</v>
      </c>
      <c r="O447" s="4" t="s">
        <v>52</v>
      </c>
      <c r="P447" s="4"/>
    </row>
    <row r="448" spans="1:16" ht="14" customHeight="1">
      <c r="A448" s="3" t="s">
        <v>1656</v>
      </c>
      <c r="B448" s="3" t="s">
        <v>470</v>
      </c>
      <c r="C448" s="3"/>
      <c r="D448" s="3" t="s">
        <v>1143</v>
      </c>
      <c r="E448" s="3" t="s">
        <v>1657</v>
      </c>
      <c r="F448" s="3" t="s">
        <v>100</v>
      </c>
      <c r="G448" s="10">
        <v>648</v>
      </c>
      <c r="H448" s="10">
        <v>30100</v>
      </c>
      <c r="I448" s="11">
        <v>19504800</v>
      </c>
      <c r="J448" s="8">
        <f t="shared" si="12"/>
        <v>19504800</v>
      </c>
      <c r="K448" s="8">
        <f t="shared" si="13"/>
        <v>0</v>
      </c>
      <c r="L448" s="3"/>
      <c r="M448" s="3">
        <v>2</v>
      </c>
      <c r="N448" s="3" t="s">
        <v>358</v>
      </c>
      <c r="O448" s="3" t="s">
        <v>52</v>
      </c>
      <c r="P448" s="3"/>
    </row>
    <row r="449" spans="1:16" ht="14" customHeight="1">
      <c r="A449" s="4" t="s">
        <v>1658</v>
      </c>
      <c r="B449" s="4" t="s">
        <v>470</v>
      </c>
      <c r="C449" s="4"/>
      <c r="D449" s="4" t="s">
        <v>1146</v>
      </c>
      <c r="E449" s="4" t="s">
        <v>1659</v>
      </c>
      <c r="F449" s="4" t="s">
        <v>100</v>
      </c>
      <c r="G449" s="12">
        <v>335</v>
      </c>
      <c r="H449" s="12">
        <v>32000</v>
      </c>
      <c r="I449" s="13">
        <v>10720000</v>
      </c>
      <c r="J449" s="9">
        <f t="shared" si="12"/>
        <v>10720000</v>
      </c>
      <c r="K449" s="9">
        <f t="shared" si="13"/>
        <v>0</v>
      </c>
      <c r="L449" s="4"/>
      <c r="M449" s="4">
        <v>2</v>
      </c>
      <c r="N449" s="4" t="s">
        <v>358</v>
      </c>
      <c r="O449" s="4" t="s">
        <v>52</v>
      </c>
      <c r="P449" s="4"/>
    </row>
    <row r="450" spans="1:16" ht="14" customHeight="1">
      <c r="A450" s="3" t="s">
        <v>1660</v>
      </c>
      <c r="B450" s="3" t="s">
        <v>470</v>
      </c>
      <c r="C450" s="3"/>
      <c r="D450" s="3" t="s">
        <v>1149</v>
      </c>
      <c r="E450" s="3" t="s">
        <v>1661</v>
      </c>
      <c r="F450" s="3" t="s">
        <v>87</v>
      </c>
      <c r="G450" s="10">
        <v>1795</v>
      </c>
      <c r="H450" s="10">
        <v>3850</v>
      </c>
      <c r="I450" s="11">
        <v>6910750</v>
      </c>
      <c r="J450" s="8">
        <f t="shared" si="12"/>
        <v>6910750</v>
      </c>
      <c r="K450" s="8">
        <f t="shared" si="13"/>
        <v>0</v>
      </c>
      <c r="L450" s="3"/>
      <c r="M450" s="3">
        <v>2</v>
      </c>
      <c r="N450" s="3" t="s">
        <v>358</v>
      </c>
      <c r="O450" s="3" t="s">
        <v>52</v>
      </c>
      <c r="P450" s="3"/>
    </row>
    <row r="451" spans="1:16" ht="14" customHeight="1">
      <c r="A451" s="4" t="s">
        <v>1662</v>
      </c>
      <c r="B451" s="4" t="s">
        <v>470</v>
      </c>
      <c r="C451" s="4"/>
      <c r="D451" s="4" t="s">
        <v>1152</v>
      </c>
      <c r="E451" s="4" t="s">
        <v>1663</v>
      </c>
      <c r="F451" s="4" t="s">
        <v>107</v>
      </c>
      <c r="G451" s="12">
        <v>5515</v>
      </c>
      <c r="H451" s="12">
        <v>550</v>
      </c>
      <c r="I451" s="13">
        <v>3033250</v>
      </c>
      <c r="J451" s="9">
        <f t="shared" si="12"/>
        <v>3033250</v>
      </c>
      <c r="K451" s="9">
        <f t="shared" si="13"/>
        <v>0</v>
      </c>
      <c r="L451" s="4"/>
      <c r="M451" s="4">
        <v>3</v>
      </c>
      <c r="N451" s="4" t="s">
        <v>358</v>
      </c>
      <c r="O451" s="4" t="s">
        <v>52</v>
      </c>
      <c r="P451" s="4"/>
    </row>
    <row r="452" spans="1:16" ht="14" customHeight="1">
      <c r="A452" s="3" t="s">
        <v>1664</v>
      </c>
      <c r="B452" s="3" t="s">
        <v>470</v>
      </c>
      <c r="C452" s="3"/>
      <c r="D452" s="3" t="s">
        <v>1156</v>
      </c>
      <c r="E452" s="3" t="s">
        <v>1665</v>
      </c>
      <c r="F452" s="3" t="s">
        <v>107</v>
      </c>
      <c r="G452" s="10">
        <v>1750</v>
      </c>
      <c r="H452" s="10">
        <v>285</v>
      </c>
      <c r="I452" s="11">
        <v>498750</v>
      </c>
      <c r="J452" s="8">
        <f t="shared" si="12"/>
        <v>498750</v>
      </c>
      <c r="K452" s="8">
        <f t="shared" si="13"/>
        <v>0</v>
      </c>
      <c r="L452" s="3"/>
      <c r="M452" s="3">
        <v>3</v>
      </c>
      <c r="N452" s="3" t="s">
        <v>358</v>
      </c>
      <c r="O452" s="3" t="s">
        <v>52</v>
      </c>
      <c r="P452" s="3"/>
    </row>
    <row r="453" spans="1:16" ht="14" customHeight="1">
      <c r="A453" s="4" t="s">
        <v>1666</v>
      </c>
      <c r="B453" s="4" t="s">
        <v>470</v>
      </c>
      <c r="C453" s="4"/>
      <c r="D453" s="4" t="s">
        <v>1159</v>
      </c>
      <c r="E453" s="4" t="s">
        <v>1667</v>
      </c>
      <c r="F453" s="4" t="s">
        <v>151</v>
      </c>
      <c r="G453" s="12">
        <v>13</v>
      </c>
      <c r="H453" s="12">
        <v>145000</v>
      </c>
      <c r="I453" s="13">
        <v>1885000</v>
      </c>
      <c r="J453" s="9">
        <f t="shared" si="12"/>
        <v>1885000</v>
      </c>
      <c r="K453" s="9">
        <f t="shared" si="13"/>
        <v>0</v>
      </c>
      <c r="L453" s="4"/>
      <c r="M453" s="4">
        <v>3</v>
      </c>
      <c r="N453" s="4" t="s">
        <v>358</v>
      </c>
      <c r="O453" s="4" t="s">
        <v>52</v>
      </c>
      <c r="P453" s="4"/>
    </row>
    <row r="454" spans="1:16" ht="14" customHeight="1">
      <c r="A454" s="3" t="s">
        <v>1668</v>
      </c>
      <c r="B454" s="3" t="s">
        <v>54</v>
      </c>
      <c r="C454" s="3"/>
      <c r="D454" s="3" t="s">
        <v>1123</v>
      </c>
      <c r="E454" s="3" t="s">
        <v>1669</v>
      </c>
      <c r="F454" s="3" t="s">
        <v>414</v>
      </c>
      <c r="G454" s="10">
        <v>395784</v>
      </c>
      <c r="H454" s="10">
        <v>30</v>
      </c>
      <c r="I454" s="11">
        <v>11873520</v>
      </c>
      <c r="J454" s="8">
        <f t="shared" ref="J454:J517" si="14">IF(OR(G454="",H454=""),"",ROUND(G454*H454,0))</f>
        <v>11873520</v>
      </c>
      <c r="K454" s="8">
        <f t="shared" ref="K454:K517" si="15">IF(OR(I454="",J454=""),"",I454-J454)</f>
        <v>0</v>
      </c>
      <c r="L454" s="3" t="s">
        <v>1670</v>
      </c>
      <c r="M454" s="3">
        <v>3</v>
      </c>
      <c r="N454" s="3" t="s">
        <v>358</v>
      </c>
      <c r="O454" s="3" t="s">
        <v>54</v>
      </c>
      <c r="P454" s="3"/>
    </row>
    <row r="455" spans="1:16" ht="14" customHeight="1">
      <c r="A455" s="4" t="s">
        <v>1671</v>
      </c>
      <c r="B455" s="4" t="s">
        <v>54</v>
      </c>
      <c r="C455" s="4"/>
      <c r="D455" s="4" t="s">
        <v>1126</v>
      </c>
      <c r="E455" s="4" t="s">
        <v>1672</v>
      </c>
      <c r="F455" s="4" t="s">
        <v>414</v>
      </c>
      <c r="G455" s="12">
        <v>35876</v>
      </c>
      <c r="H455" s="12">
        <v>38</v>
      </c>
      <c r="I455" s="13">
        <v>1363288</v>
      </c>
      <c r="J455" s="9">
        <f t="shared" si="14"/>
        <v>1363288</v>
      </c>
      <c r="K455" s="9">
        <f t="shared" si="15"/>
        <v>0</v>
      </c>
      <c r="L455" s="4" t="s">
        <v>1670</v>
      </c>
      <c r="M455" s="4">
        <v>3</v>
      </c>
      <c r="N455" s="4" t="s">
        <v>358</v>
      </c>
      <c r="O455" s="4" t="s">
        <v>54</v>
      </c>
      <c r="P455" s="4"/>
    </row>
    <row r="456" spans="1:16" ht="14" customHeight="1">
      <c r="A456" s="3" t="s">
        <v>1673</v>
      </c>
      <c r="B456" s="3" t="s">
        <v>54</v>
      </c>
      <c r="C456" s="3"/>
      <c r="D456" s="3" t="s">
        <v>1129</v>
      </c>
      <c r="E456" s="3" t="s">
        <v>1674</v>
      </c>
      <c r="F456" s="3" t="s">
        <v>414</v>
      </c>
      <c r="G456" s="10">
        <v>51103</v>
      </c>
      <c r="H456" s="10">
        <v>39</v>
      </c>
      <c r="I456" s="11">
        <v>1993017</v>
      </c>
      <c r="J456" s="8">
        <f t="shared" si="14"/>
        <v>1993017</v>
      </c>
      <c r="K456" s="8">
        <f t="shared" si="15"/>
        <v>0</v>
      </c>
      <c r="L456" s="3" t="s">
        <v>1675</v>
      </c>
      <c r="M456" s="3">
        <v>3</v>
      </c>
      <c r="N456" s="3" t="s">
        <v>358</v>
      </c>
      <c r="O456" s="3" t="s">
        <v>54</v>
      </c>
      <c r="P456" s="3"/>
    </row>
    <row r="457" spans="1:16" ht="14" customHeight="1">
      <c r="A457" s="4" t="s">
        <v>1676</v>
      </c>
      <c r="B457" s="4" t="s">
        <v>54</v>
      </c>
      <c r="C457" s="4"/>
      <c r="D457" s="4" t="s">
        <v>1132</v>
      </c>
      <c r="E457" s="4" t="s">
        <v>1677</v>
      </c>
      <c r="F457" s="4" t="s">
        <v>414</v>
      </c>
      <c r="G457" s="12">
        <v>11131</v>
      </c>
      <c r="H457" s="12">
        <v>32</v>
      </c>
      <c r="I457" s="13">
        <v>356192</v>
      </c>
      <c r="J457" s="9">
        <f t="shared" si="14"/>
        <v>356192</v>
      </c>
      <c r="K457" s="9">
        <f t="shared" si="15"/>
        <v>0</v>
      </c>
      <c r="L457" s="4" t="s">
        <v>1678</v>
      </c>
      <c r="M457" s="4">
        <v>3</v>
      </c>
      <c r="N457" s="4" t="s">
        <v>358</v>
      </c>
      <c r="O457" s="4" t="s">
        <v>54</v>
      </c>
      <c r="P457" s="4"/>
    </row>
    <row r="458" spans="1:16" ht="14" customHeight="1">
      <c r="A458" s="3" t="s">
        <v>1679</v>
      </c>
      <c r="B458" s="3" t="s">
        <v>54</v>
      </c>
      <c r="C458" s="3"/>
      <c r="D458" s="3" t="s">
        <v>1135</v>
      </c>
      <c r="E458" s="3" t="s">
        <v>1680</v>
      </c>
      <c r="F458" s="3" t="s">
        <v>414</v>
      </c>
      <c r="G458" s="10">
        <v>493894</v>
      </c>
      <c r="H458" s="10">
        <v>1</v>
      </c>
      <c r="I458" s="11">
        <v>493894</v>
      </c>
      <c r="J458" s="8">
        <f t="shared" si="14"/>
        <v>493894</v>
      </c>
      <c r="K458" s="8">
        <f t="shared" si="15"/>
        <v>0</v>
      </c>
      <c r="L458" s="3"/>
      <c r="M458" s="3">
        <v>3</v>
      </c>
      <c r="N458" s="3" t="s">
        <v>358</v>
      </c>
      <c r="O458" s="3" t="s">
        <v>54</v>
      </c>
      <c r="P458" s="3"/>
    </row>
    <row r="459" spans="1:16" ht="14" customHeight="1">
      <c r="A459" s="4" t="s">
        <v>1681</v>
      </c>
      <c r="B459" s="4" t="s">
        <v>54</v>
      </c>
      <c r="C459" s="4"/>
      <c r="D459" s="4" t="s">
        <v>1140</v>
      </c>
      <c r="E459" s="4" t="s">
        <v>1682</v>
      </c>
      <c r="F459" s="4" t="s">
        <v>414</v>
      </c>
      <c r="G459" s="12">
        <v>493894</v>
      </c>
      <c r="H459" s="12">
        <v>3.2</v>
      </c>
      <c r="I459" s="13">
        <v>1580461</v>
      </c>
      <c r="J459" s="9">
        <f t="shared" si="14"/>
        <v>1580461</v>
      </c>
      <c r="K459" s="9">
        <f t="shared" si="15"/>
        <v>0</v>
      </c>
      <c r="L459" s="4" t="s">
        <v>1683</v>
      </c>
      <c r="M459" s="4">
        <v>3</v>
      </c>
      <c r="N459" s="4" t="s">
        <v>358</v>
      </c>
      <c r="O459" s="4" t="s">
        <v>54</v>
      </c>
      <c r="P459" s="4"/>
    </row>
    <row r="460" spans="1:16" ht="14" customHeight="1">
      <c r="A460" s="3" t="s">
        <v>1684</v>
      </c>
      <c r="B460" s="3" t="s">
        <v>54</v>
      </c>
      <c r="C460" s="3"/>
      <c r="D460" s="3" t="s">
        <v>1143</v>
      </c>
      <c r="E460" s="3" t="s">
        <v>1685</v>
      </c>
      <c r="F460" s="3" t="s">
        <v>414</v>
      </c>
      <c r="G460" s="10">
        <v>9131</v>
      </c>
      <c r="H460" s="10">
        <v>8.4</v>
      </c>
      <c r="I460" s="11">
        <v>76700</v>
      </c>
      <c r="J460" s="8">
        <f t="shared" si="14"/>
        <v>76700</v>
      </c>
      <c r="K460" s="8">
        <f t="shared" si="15"/>
        <v>0</v>
      </c>
      <c r="L460" s="3"/>
      <c r="M460" s="3">
        <v>3</v>
      </c>
      <c r="N460" s="3" t="s">
        <v>358</v>
      </c>
      <c r="O460" s="3" t="s">
        <v>54</v>
      </c>
      <c r="P460" s="3"/>
    </row>
    <row r="461" spans="1:16" ht="14" customHeight="1">
      <c r="A461" s="4" t="s">
        <v>1686</v>
      </c>
      <c r="B461" s="4" t="s">
        <v>54</v>
      </c>
      <c r="C461" s="4"/>
      <c r="D461" s="4" t="s">
        <v>1146</v>
      </c>
      <c r="E461" s="4" t="s">
        <v>1687</v>
      </c>
      <c r="F461" s="4" t="s">
        <v>414</v>
      </c>
      <c r="G461" s="12">
        <v>493894</v>
      </c>
      <c r="H461" s="12">
        <v>10.5</v>
      </c>
      <c r="I461" s="13">
        <v>5185887</v>
      </c>
      <c r="J461" s="9">
        <f t="shared" si="14"/>
        <v>5185887</v>
      </c>
      <c r="K461" s="9">
        <f t="shared" si="15"/>
        <v>0</v>
      </c>
      <c r="L461" s="4"/>
      <c r="M461" s="4">
        <v>3</v>
      </c>
      <c r="N461" s="4" t="s">
        <v>358</v>
      </c>
      <c r="O461" s="4" t="s">
        <v>54</v>
      </c>
      <c r="P461" s="4"/>
    </row>
    <row r="462" spans="1:16" ht="14" customHeight="1">
      <c r="A462" s="3" t="s">
        <v>1688</v>
      </c>
      <c r="B462" s="3" t="s">
        <v>54</v>
      </c>
      <c r="C462" s="3"/>
      <c r="D462" s="3" t="s">
        <v>1149</v>
      </c>
      <c r="E462" s="3" t="s">
        <v>1689</v>
      </c>
      <c r="F462" s="3" t="s">
        <v>414</v>
      </c>
      <c r="G462" s="10">
        <v>493894</v>
      </c>
      <c r="H462" s="10">
        <v>8</v>
      </c>
      <c r="I462" s="11">
        <v>3951152</v>
      </c>
      <c r="J462" s="8">
        <f t="shared" si="14"/>
        <v>3951152</v>
      </c>
      <c r="K462" s="8">
        <f t="shared" si="15"/>
        <v>0</v>
      </c>
      <c r="L462" s="3"/>
      <c r="M462" s="3">
        <v>3</v>
      </c>
      <c r="N462" s="3" t="s">
        <v>358</v>
      </c>
      <c r="O462" s="3" t="s">
        <v>54</v>
      </c>
      <c r="P462" s="3"/>
    </row>
    <row r="463" spans="1:16" ht="14" customHeight="1">
      <c r="A463" s="4" t="s">
        <v>1690</v>
      </c>
      <c r="B463" s="4" t="s">
        <v>54</v>
      </c>
      <c r="C463" s="4"/>
      <c r="D463" s="4" t="s">
        <v>1152</v>
      </c>
      <c r="E463" s="4" t="s">
        <v>1691</v>
      </c>
      <c r="F463" s="4" t="s">
        <v>414</v>
      </c>
      <c r="G463" s="12">
        <v>493894</v>
      </c>
      <c r="H463" s="12">
        <v>0.7</v>
      </c>
      <c r="I463" s="13">
        <v>345726</v>
      </c>
      <c r="J463" s="9">
        <f t="shared" si="14"/>
        <v>345726</v>
      </c>
      <c r="K463" s="9">
        <f t="shared" si="15"/>
        <v>0</v>
      </c>
      <c r="L463" s="4"/>
      <c r="M463" s="4">
        <v>3</v>
      </c>
      <c r="N463" s="4" t="s">
        <v>358</v>
      </c>
      <c r="O463" s="4" t="s">
        <v>54</v>
      </c>
      <c r="P463" s="4"/>
    </row>
    <row r="464" spans="1:16" ht="14" customHeight="1">
      <c r="A464" s="3" t="s">
        <v>1692</v>
      </c>
      <c r="B464" s="3" t="s">
        <v>54</v>
      </c>
      <c r="C464" s="3"/>
      <c r="D464" s="3" t="s">
        <v>1156</v>
      </c>
      <c r="E464" s="3" t="s">
        <v>1693</v>
      </c>
      <c r="F464" s="3" t="s">
        <v>434</v>
      </c>
      <c r="G464" s="10">
        <v>396</v>
      </c>
      <c r="H464" s="10">
        <v>735</v>
      </c>
      <c r="I464" s="11">
        <v>291060</v>
      </c>
      <c r="J464" s="8">
        <f t="shared" si="14"/>
        <v>291060</v>
      </c>
      <c r="K464" s="8">
        <f t="shared" si="15"/>
        <v>0</v>
      </c>
      <c r="L464" s="3"/>
      <c r="M464" s="3">
        <v>3</v>
      </c>
      <c r="N464" s="3" t="s">
        <v>358</v>
      </c>
      <c r="O464" s="3" t="s">
        <v>54</v>
      </c>
      <c r="P464" s="3"/>
    </row>
    <row r="465" spans="1:16" ht="14" customHeight="1">
      <c r="A465" s="4" t="s">
        <v>1694</v>
      </c>
      <c r="B465" s="4" t="s">
        <v>54</v>
      </c>
      <c r="C465" s="4"/>
      <c r="D465" s="4" t="s">
        <v>1159</v>
      </c>
      <c r="E465" s="4" t="s">
        <v>1695</v>
      </c>
      <c r="F465" s="4" t="s">
        <v>434</v>
      </c>
      <c r="G465" s="12">
        <v>8</v>
      </c>
      <c r="H465" s="12">
        <v>735</v>
      </c>
      <c r="I465" s="13">
        <v>5880</v>
      </c>
      <c r="J465" s="9">
        <f t="shared" si="14"/>
        <v>5880</v>
      </c>
      <c r="K465" s="9">
        <f t="shared" si="15"/>
        <v>0</v>
      </c>
      <c r="L465" s="4"/>
      <c r="M465" s="4">
        <v>3</v>
      </c>
      <c r="N465" s="4" t="s">
        <v>358</v>
      </c>
      <c r="O465" s="4" t="s">
        <v>54</v>
      </c>
      <c r="P465" s="4"/>
    </row>
    <row r="466" spans="1:16" ht="14" customHeight="1">
      <c r="A466" s="3" t="s">
        <v>1696</v>
      </c>
      <c r="B466" s="3" t="s">
        <v>54</v>
      </c>
      <c r="C466" s="3"/>
      <c r="D466" s="3" t="s">
        <v>1162</v>
      </c>
      <c r="E466" s="3" t="s">
        <v>1697</v>
      </c>
      <c r="F466" s="3" t="s">
        <v>434</v>
      </c>
      <c r="G466" s="10">
        <v>5980</v>
      </c>
      <c r="H466" s="10">
        <v>65</v>
      </c>
      <c r="I466" s="11">
        <v>388700</v>
      </c>
      <c r="J466" s="8">
        <f t="shared" si="14"/>
        <v>388700</v>
      </c>
      <c r="K466" s="8">
        <f t="shared" si="15"/>
        <v>0</v>
      </c>
      <c r="L466" s="3"/>
      <c r="M466" s="3">
        <v>3</v>
      </c>
      <c r="N466" s="3" t="s">
        <v>358</v>
      </c>
      <c r="O466" s="3" t="s">
        <v>54</v>
      </c>
      <c r="P466" s="3"/>
    </row>
    <row r="467" spans="1:16" ht="14" customHeight="1">
      <c r="A467" s="4" t="s">
        <v>1698</v>
      </c>
      <c r="B467" s="4" t="s">
        <v>54</v>
      </c>
      <c r="C467" s="4"/>
      <c r="D467" s="4" t="s">
        <v>1165</v>
      </c>
      <c r="E467" s="4" t="s">
        <v>1699</v>
      </c>
      <c r="F467" s="4" t="s">
        <v>492</v>
      </c>
      <c r="G467" s="12">
        <v>526</v>
      </c>
      <c r="H467" s="12">
        <v>2620</v>
      </c>
      <c r="I467" s="13">
        <v>1378120</v>
      </c>
      <c r="J467" s="9">
        <f t="shared" si="14"/>
        <v>1378120</v>
      </c>
      <c r="K467" s="9">
        <f t="shared" si="15"/>
        <v>0</v>
      </c>
      <c r="L467" s="4" t="s">
        <v>1700</v>
      </c>
      <c r="M467" s="4">
        <v>3</v>
      </c>
      <c r="N467" s="4" t="s">
        <v>358</v>
      </c>
      <c r="O467" s="4" t="s">
        <v>54</v>
      </c>
      <c r="P467" s="4"/>
    </row>
    <row r="468" spans="1:16" ht="14" customHeight="1">
      <c r="A468" s="3" t="s">
        <v>1701</v>
      </c>
      <c r="B468" s="3" t="s">
        <v>54</v>
      </c>
      <c r="C468" s="3"/>
      <c r="D468" s="3" t="s">
        <v>1168</v>
      </c>
      <c r="E468" s="3" t="s">
        <v>1702</v>
      </c>
      <c r="F468" s="3" t="s">
        <v>492</v>
      </c>
      <c r="G468" s="10">
        <v>647</v>
      </c>
      <c r="H468" s="10">
        <v>2400</v>
      </c>
      <c r="I468" s="11">
        <v>1552800</v>
      </c>
      <c r="J468" s="8">
        <f t="shared" si="14"/>
        <v>1552800</v>
      </c>
      <c r="K468" s="8">
        <f t="shared" si="15"/>
        <v>0</v>
      </c>
      <c r="L468" s="3" t="s">
        <v>1700</v>
      </c>
      <c r="M468" s="3">
        <v>3</v>
      </c>
      <c r="N468" s="3" t="s">
        <v>358</v>
      </c>
      <c r="O468" s="3" t="s">
        <v>54</v>
      </c>
      <c r="P468" s="3"/>
    </row>
    <row r="469" spans="1:16" ht="14" customHeight="1">
      <c r="A469" s="4" t="s">
        <v>1703</v>
      </c>
      <c r="B469" s="4" t="s">
        <v>54</v>
      </c>
      <c r="C469" s="4"/>
      <c r="D469" s="4" t="s">
        <v>1171</v>
      </c>
      <c r="E469" s="4" t="s">
        <v>1704</v>
      </c>
      <c r="F469" s="4" t="s">
        <v>434</v>
      </c>
      <c r="G469" s="12">
        <v>21595</v>
      </c>
      <c r="H469" s="12">
        <v>55</v>
      </c>
      <c r="I469" s="13">
        <v>1187725</v>
      </c>
      <c r="J469" s="9">
        <f t="shared" si="14"/>
        <v>1187725</v>
      </c>
      <c r="K469" s="9">
        <f t="shared" si="15"/>
        <v>0</v>
      </c>
      <c r="L469" s="4"/>
      <c r="M469" s="4">
        <v>3</v>
      </c>
      <c r="N469" s="4" t="s">
        <v>358</v>
      </c>
      <c r="O469" s="4" t="s">
        <v>54</v>
      </c>
      <c r="P469" s="4"/>
    </row>
    <row r="470" spans="1:16" ht="14" customHeight="1">
      <c r="A470" s="3" t="s">
        <v>1705</v>
      </c>
      <c r="B470" s="3" t="s">
        <v>54</v>
      </c>
      <c r="C470" s="3"/>
      <c r="D470" s="3" t="s">
        <v>1175</v>
      </c>
      <c r="E470" s="3" t="s">
        <v>1706</v>
      </c>
      <c r="F470" s="3" t="s">
        <v>414</v>
      </c>
      <c r="G470" s="10">
        <v>493894</v>
      </c>
      <c r="H470" s="10">
        <v>0.6</v>
      </c>
      <c r="I470" s="11">
        <v>296336</v>
      </c>
      <c r="J470" s="8">
        <f t="shared" si="14"/>
        <v>296336</v>
      </c>
      <c r="K470" s="8">
        <f t="shared" si="15"/>
        <v>0</v>
      </c>
      <c r="L470" s="3"/>
      <c r="M470" s="3">
        <v>3</v>
      </c>
      <c r="N470" s="3" t="s">
        <v>358</v>
      </c>
      <c r="O470" s="3" t="s">
        <v>54</v>
      </c>
      <c r="P470" s="3"/>
    </row>
    <row r="471" spans="1:16" ht="14" customHeight="1">
      <c r="A471" s="4" t="s">
        <v>1707</v>
      </c>
      <c r="B471" s="4" t="s">
        <v>54</v>
      </c>
      <c r="C471" s="4"/>
      <c r="D471" s="4" t="s">
        <v>1178</v>
      </c>
      <c r="E471" s="4" t="s">
        <v>1708</v>
      </c>
      <c r="F471" s="4" t="s">
        <v>107</v>
      </c>
      <c r="G471" s="12">
        <v>4023</v>
      </c>
      <c r="H471" s="12">
        <v>120</v>
      </c>
      <c r="I471" s="13">
        <v>482760</v>
      </c>
      <c r="J471" s="9">
        <f t="shared" si="14"/>
        <v>482760</v>
      </c>
      <c r="K471" s="9">
        <f t="shared" si="15"/>
        <v>0</v>
      </c>
      <c r="L471" s="4"/>
      <c r="M471" s="4">
        <v>3</v>
      </c>
      <c r="N471" s="4" t="s">
        <v>358</v>
      </c>
      <c r="O471" s="4" t="s">
        <v>54</v>
      </c>
      <c r="P471" s="4"/>
    </row>
    <row r="472" spans="1:16" ht="14" customHeight="1">
      <c r="A472" s="3" t="s">
        <v>1709</v>
      </c>
      <c r="B472" s="3" t="s">
        <v>54</v>
      </c>
      <c r="C472" s="3"/>
      <c r="D472" s="3" t="s">
        <v>1408</v>
      </c>
      <c r="E472" s="3" t="s">
        <v>1710</v>
      </c>
      <c r="F472" s="3" t="s">
        <v>107</v>
      </c>
      <c r="G472" s="10">
        <v>11532</v>
      </c>
      <c r="H472" s="10">
        <v>450</v>
      </c>
      <c r="I472" s="11">
        <v>5189400</v>
      </c>
      <c r="J472" s="8">
        <f t="shared" si="14"/>
        <v>5189400</v>
      </c>
      <c r="K472" s="8">
        <f t="shared" si="15"/>
        <v>0</v>
      </c>
      <c r="L472" s="3"/>
      <c r="M472" s="3">
        <v>3</v>
      </c>
      <c r="N472" s="3" t="s">
        <v>358</v>
      </c>
      <c r="O472" s="3" t="s">
        <v>54</v>
      </c>
      <c r="P472" s="3"/>
    </row>
    <row r="473" spans="1:16" ht="14" customHeight="1">
      <c r="A473" s="4" t="s">
        <v>1711</v>
      </c>
      <c r="B473" s="4" t="s">
        <v>54</v>
      </c>
      <c r="C473" s="4"/>
      <c r="D473" s="4" t="s">
        <v>1412</v>
      </c>
      <c r="E473" s="4" t="s">
        <v>1712</v>
      </c>
      <c r="F473" s="4" t="s">
        <v>1713</v>
      </c>
      <c r="G473" s="12">
        <v>318</v>
      </c>
      <c r="H473" s="12">
        <v>2100</v>
      </c>
      <c r="I473" s="13">
        <v>667800</v>
      </c>
      <c r="J473" s="9">
        <f t="shared" si="14"/>
        <v>667800</v>
      </c>
      <c r="K473" s="9">
        <f t="shared" si="15"/>
        <v>0</v>
      </c>
      <c r="L473" s="4"/>
      <c r="M473" s="4">
        <v>3</v>
      </c>
      <c r="N473" s="4" t="s">
        <v>358</v>
      </c>
      <c r="O473" s="4" t="s">
        <v>54</v>
      </c>
      <c r="P473" s="4"/>
    </row>
    <row r="474" spans="1:16" ht="14" customHeight="1">
      <c r="A474" s="3" t="s">
        <v>1714</v>
      </c>
      <c r="B474" s="3" t="s">
        <v>54</v>
      </c>
      <c r="C474" s="3"/>
      <c r="D474" s="3" t="s">
        <v>1416</v>
      </c>
      <c r="E474" s="3" t="s">
        <v>1715</v>
      </c>
      <c r="F474" s="3" t="s">
        <v>357</v>
      </c>
      <c r="G474" s="10">
        <v>1</v>
      </c>
      <c r="H474" s="10">
        <v>350000</v>
      </c>
      <c r="I474" s="11">
        <v>350000</v>
      </c>
      <c r="J474" s="8">
        <f t="shared" si="14"/>
        <v>350000</v>
      </c>
      <c r="K474" s="8">
        <f t="shared" si="15"/>
        <v>0</v>
      </c>
      <c r="L474" s="3"/>
      <c r="M474" s="3">
        <v>3</v>
      </c>
      <c r="N474" s="3" t="s">
        <v>358</v>
      </c>
      <c r="O474" s="3" t="s">
        <v>54</v>
      </c>
      <c r="P474" s="3"/>
    </row>
    <row r="475" spans="1:16" ht="14" customHeight="1">
      <c r="A475" s="4" t="s">
        <v>1716</v>
      </c>
      <c r="B475" s="4" t="s">
        <v>54</v>
      </c>
      <c r="C475" s="4"/>
      <c r="D475" s="4" t="s">
        <v>1419</v>
      </c>
      <c r="E475" s="4" t="s">
        <v>1717</v>
      </c>
      <c r="F475" s="4" t="s">
        <v>107</v>
      </c>
      <c r="G475" s="12">
        <v>4023</v>
      </c>
      <c r="H475" s="12">
        <v>500</v>
      </c>
      <c r="I475" s="13">
        <v>2011500</v>
      </c>
      <c r="J475" s="9">
        <f t="shared" si="14"/>
        <v>2011500</v>
      </c>
      <c r="K475" s="9">
        <f t="shared" si="15"/>
        <v>0</v>
      </c>
      <c r="L475" s="4"/>
      <c r="M475" s="4">
        <v>3</v>
      </c>
      <c r="N475" s="4" t="s">
        <v>358</v>
      </c>
      <c r="O475" s="4" t="s">
        <v>54</v>
      </c>
      <c r="P475" s="4"/>
    </row>
    <row r="476" spans="1:16" ht="14" customHeight="1">
      <c r="A476" s="3" t="s">
        <v>1718</v>
      </c>
      <c r="B476" s="3" t="s">
        <v>54</v>
      </c>
      <c r="C476" s="3"/>
      <c r="D476" s="3" t="s">
        <v>1423</v>
      </c>
      <c r="E476" s="3" t="s">
        <v>1719</v>
      </c>
      <c r="F476" s="3" t="s">
        <v>162</v>
      </c>
      <c r="G476" s="10">
        <v>259</v>
      </c>
      <c r="H476" s="10">
        <v>350</v>
      </c>
      <c r="I476" s="11">
        <v>90650</v>
      </c>
      <c r="J476" s="8">
        <f t="shared" si="14"/>
        <v>90650</v>
      </c>
      <c r="K476" s="8">
        <f t="shared" si="15"/>
        <v>0</v>
      </c>
      <c r="L476" s="3"/>
      <c r="M476" s="3">
        <v>3</v>
      </c>
      <c r="N476" s="3" t="s">
        <v>358</v>
      </c>
      <c r="O476" s="3" t="s">
        <v>54</v>
      </c>
      <c r="P476" s="3"/>
    </row>
    <row r="477" spans="1:16" ht="14" customHeight="1">
      <c r="A477" s="4" t="s">
        <v>1720</v>
      </c>
      <c r="B477" s="4" t="s">
        <v>54</v>
      </c>
      <c r="C477" s="4"/>
      <c r="D477" s="4" t="s">
        <v>1426</v>
      </c>
      <c r="E477" s="4" t="s">
        <v>1721</v>
      </c>
      <c r="F477" s="4" t="s">
        <v>162</v>
      </c>
      <c r="G477" s="12">
        <v>525</v>
      </c>
      <c r="H477" s="12">
        <v>310</v>
      </c>
      <c r="I477" s="13">
        <v>162750</v>
      </c>
      <c r="J477" s="9">
        <f t="shared" si="14"/>
        <v>162750</v>
      </c>
      <c r="K477" s="9">
        <f t="shared" si="15"/>
        <v>0</v>
      </c>
      <c r="L477" s="4"/>
      <c r="M477" s="4">
        <v>3</v>
      </c>
      <c r="N477" s="4" t="s">
        <v>358</v>
      </c>
      <c r="O477" s="4" t="s">
        <v>54</v>
      </c>
      <c r="P477" s="4"/>
    </row>
    <row r="478" spans="1:16" ht="14" customHeight="1">
      <c r="A478" s="3" t="s">
        <v>1722</v>
      </c>
      <c r="B478" s="3" t="s">
        <v>54</v>
      </c>
      <c r="C478" s="3"/>
      <c r="D478" s="3" t="s">
        <v>1429</v>
      </c>
      <c r="E478" s="3" t="s">
        <v>1723</v>
      </c>
      <c r="F478" s="3" t="s">
        <v>1724</v>
      </c>
      <c r="G478" s="10">
        <v>34</v>
      </c>
      <c r="H478" s="10">
        <v>2000</v>
      </c>
      <c r="I478" s="11">
        <v>68000</v>
      </c>
      <c r="J478" s="8">
        <f t="shared" si="14"/>
        <v>68000</v>
      </c>
      <c r="K478" s="8">
        <f t="shared" si="15"/>
        <v>0</v>
      </c>
      <c r="L478" s="3"/>
      <c r="M478" s="3">
        <v>3</v>
      </c>
      <c r="N478" s="3" t="s">
        <v>358</v>
      </c>
      <c r="O478" s="3" t="s">
        <v>54</v>
      </c>
      <c r="P478" s="3"/>
    </row>
    <row r="479" spans="1:16" ht="14" customHeight="1">
      <c r="A479" s="4" t="s">
        <v>1725</v>
      </c>
      <c r="B479" s="4" t="s">
        <v>54</v>
      </c>
      <c r="C479" s="4"/>
      <c r="D479" s="4" t="s">
        <v>1432</v>
      </c>
      <c r="E479" s="4" t="s">
        <v>1726</v>
      </c>
      <c r="F479" s="4" t="s">
        <v>1724</v>
      </c>
      <c r="G479" s="12">
        <v>34</v>
      </c>
      <c r="H479" s="12">
        <v>2500</v>
      </c>
      <c r="I479" s="13">
        <v>85000</v>
      </c>
      <c r="J479" s="9">
        <f t="shared" si="14"/>
        <v>85000</v>
      </c>
      <c r="K479" s="9">
        <f t="shared" si="15"/>
        <v>0</v>
      </c>
      <c r="L479" s="4"/>
      <c r="M479" s="4">
        <v>3</v>
      </c>
      <c r="N479" s="4" t="s">
        <v>358</v>
      </c>
      <c r="O479" s="4" t="s">
        <v>54</v>
      </c>
      <c r="P479" s="4"/>
    </row>
    <row r="480" spans="1:16" ht="14" customHeight="1">
      <c r="A480" s="3" t="s">
        <v>1727</v>
      </c>
      <c r="B480" s="3" t="s">
        <v>54</v>
      </c>
      <c r="C480" s="3"/>
      <c r="D480" s="3" t="s">
        <v>1435</v>
      </c>
      <c r="E480" s="3" t="s">
        <v>1728</v>
      </c>
      <c r="F480" s="3" t="s">
        <v>162</v>
      </c>
      <c r="G480" s="10">
        <v>116</v>
      </c>
      <c r="H480" s="10">
        <v>3800</v>
      </c>
      <c r="I480" s="11">
        <v>440800</v>
      </c>
      <c r="J480" s="8">
        <f t="shared" si="14"/>
        <v>440800</v>
      </c>
      <c r="K480" s="8">
        <f t="shared" si="15"/>
        <v>0</v>
      </c>
      <c r="L480" s="3"/>
      <c r="M480" s="3">
        <v>3</v>
      </c>
      <c r="N480" s="3" t="s">
        <v>358</v>
      </c>
      <c r="O480" s="3" t="s">
        <v>54</v>
      </c>
      <c r="P480" s="3"/>
    </row>
    <row r="481" spans="1:16" ht="14" customHeight="1">
      <c r="A481" s="4" t="s">
        <v>1729</v>
      </c>
      <c r="B481" s="4" t="s">
        <v>1257</v>
      </c>
      <c r="C481" s="4" t="s">
        <v>1730</v>
      </c>
      <c r="D481" s="4" t="s">
        <v>1123</v>
      </c>
      <c r="E481" s="4" t="s">
        <v>1731</v>
      </c>
      <c r="F481" s="4" t="s">
        <v>107</v>
      </c>
      <c r="G481" s="12">
        <v>341.03</v>
      </c>
      <c r="H481" s="12">
        <v>450</v>
      </c>
      <c r="I481" s="13">
        <v>153464</v>
      </c>
      <c r="J481" s="9">
        <f t="shared" si="14"/>
        <v>153464</v>
      </c>
      <c r="K481" s="9">
        <f t="shared" si="15"/>
        <v>0</v>
      </c>
      <c r="L481" s="4" t="s">
        <v>1732</v>
      </c>
      <c r="M481" s="4">
        <v>4</v>
      </c>
      <c r="N481" s="4" t="s">
        <v>358</v>
      </c>
      <c r="O481" s="4" t="s">
        <v>56</v>
      </c>
      <c r="P481" s="4"/>
    </row>
    <row r="482" spans="1:16" ht="14" customHeight="1">
      <c r="A482" s="3" t="s">
        <v>1733</v>
      </c>
      <c r="B482" s="3" t="s">
        <v>1257</v>
      </c>
      <c r="C482" s="3" t="s">
        <v>1730</v>
      </c>
      <c r="D482" s="3" t="s">
        <v>1126</v>
      </c>
      <c r="E482" s="3" t="s">
        <v>1734</v>
      </c>
      <c r="F482" s="3" t="s">
        <v>107</v>
      </c>
      <c r="G482" s="10">
        <v>33.86</v>
      </c>
      <c r="H482" s="10">
        <v>450</v>
      </c>
      <c r="I482" s="11">
        <v>15237</v>
      </c>
      <c r="J482" s="8">
        <f t="shared" si="14"/>
        <v>15237</v>
      </c>
      <c r="K482" s="8">
        <f t="shared" si="15"/>
        <v>0</v>
      </c>
      <c r="L482" s="3"/>
      <c r="M482" s="3">
        <v>4</v>
      </c>
      <c r="N482" s="3" t="s">
        <v>358</v>
      </c>
      <c r="O482" s="3" t="s">
        <v>56</v>
      </c>
      <c r="P482" s="3"/>
    </row>
    <row r="483" spans="1:16" ht="14" customHeight="1">
      <c r="A483" s="4" t="s">
        <v>1735</v>
      </c>
      <c r="B483" s="4" t="s">
        <v>1257</v>
      </c>
      <c r="C483" s="4" t="s">
        <v>1730</v>
      </c>
      <c r="D483" s="4" t="s">
        <v>1129</v>
      </c>
      <c r="E483" s="4" t="s">
        <v>1736</v>
      </c>
      <c r="F483" s="4" t="s">
        <v>107</v>
      </c>
      <c r="G483" s="12">
        <v>4115.3</v>
      </c>
      <c r="H483" s="12">
        <v>450</v>
      </c>
      <c r="I483" s="13">
        <v>1851885</v>
      </c>
      <c r="J483" s="9">
        <f t="shared" si="14"/>
        <v>1851885</v>
      </c>
      <c r="K483" s="9">
        <f t="shared" si="15"/>
        <v>0</v>
      </c>
      <c r="L483" s="4"/>
      <c r="M483" s="4">
        <v>4</v>
      </c>
      <c r="N483" s="4" t="s">
        <v>358</v>
      </c>
      <c r="O483" s="4" t="s">
        <v>56</v>
      </c>
      <c r="P483" s="4"/>
    </row>
    <row r="484" spans="1:16" ht="14" customHeight="1">
      <c r="A484" s="3" t="s">
        <v>1737</v>
      </c>
      <c r="B484" s="3" t="s">
        <v>1257</v>
      </c>
      <c r="C484" s="3" t="s">
        <v>1730</v>
      </c>
      <c r="D484" s="3" t="s">
        <v>1132</v>
      </c>
      <c r="E484" s="3" t="s">
        <v>1738</v>
      </c>
      <c r="F484" s="3" t="s">
        <v>162</v>
      </c>
      <c r="G484" s="10">
        <v>1348</v>
      </c>
      <c r="H484" s="10">
        <v>300</v>
      </c>
      <c r="I484" s="11">
        <v>337000</v>
      </c>
      <c r="J484" s="8">
        <f t="shared" si="14"/>
        <v>404400</v>
      </c>
      <c r="K484" s="8">
        <f t="shared" si="15"/>
        <v>-67400</v>
      </c>
      <c r="L484" s="3"/>
      <c r="M484" s="3">
        <v>4</v>
      </c>
      <c r="N484" s="3" t="s">
        <v>358</v>
      </c>
      <c r="O484" s="3" t="s">
        <v>56</v>
      </c>
      <c r="P484" s="3" t="s">
        <v>1739</v>
      </c>
    </row>
    <row r="485" spans="1:16" ht="14" customHeight="1">
      <c r="A485" s="4" t="s">
        <v>1740</v>
      </c>
      <c r="B485" s="4" t="s">
        <v>1257</v>
      </c>
      <c r="C485" s="4" t="s">
        <v>1730</v>
      </c>
      <c r="D485" s="4" t="s">
        <v>1135</v>
      </c>
      <c r="E485" s="4" t="s">
        <v>1741</v>
      </c>
      <c r="F485" s="4" t="s">
        <v>162</v>
      </c>
      <c r="G485" s="12">
        <v>1341</v>
      </c>
      <c r="H485" s="12">
        <v>300</v>
      </c>
      <c r="I485" s="13">
        <v>335250</v>
      </c>
      <c r="J485" s="9">
        <f t="shared" si="14"/>
        <v>402300</v>
      </c>
      <c r="K485" s="9">
        <f t="shared" si="15"/>
        <v>-67050</v>
      </c>
      <c r="L485" s="4"/>
      <c r="M485" s="4">
        <v>4</v>
      </c>
      <c r="N485" s="4" t="s">
        <v>358</v>
      </c>
      <c r="O485" s="4" t="s">
        <v>56</v>
      </c>
      <c r="P485" s="4" t="s">
        <v>1742</v>
      </c>
    </row>
    <row r="486" spans="1:16" ht="14" customHeight="1">
      <c r="A486" s="3" t="s">
        <v>1743</v>
      </c>
      <c r="B486" s="3" t="s">
        <v>1257</v>
      </c>
      <c r="C486" s="3" t="s">
        <v>1730</v>
      </c>
      <c r="D486" s="3" t="s">
        <v>1140</v>
      </c>
      <c r="E486" s="3" t="s">
        <v>1744</v>
      </c>
      <c r="F486" s="3" t="s">
        <v>107</v>
      </c>
      <c r="G486" s="10">
        <v>1457.26</v>
      </c>
      <c r="H486" s="10">
        <v>750</v>
      </c>
      <c r="I486" s="11">
        <v>1092945</v>
      </c>
      <c r="J486" s="8">
        <f t="shared" si="14"/>
        <v>1092945</v>
      </c>
      <c r="K486" s="8">
        <f t="shared" si="15"/>
        <v>0</v>
      </c>
      <c r="L486" s="3"/>
      <c r="M486" s="3">
        <v>4</v>
      </c>
      <c r="N486" s="3" t="s">
        <v>358</v>
      </c>
      <c r="O486" s="3" t="s">
        <v>56</v>
      </c>
      <c r="P486" s="3"/>
    </row>
    <row r="487" spans="1:16" ht="14" customHeight="1">
      <c r="A487" s="4" t="s">
        <v>1745</v>
      </c>
      <c r="B487" s="4" t="s">
        <v>1257</v>
      </c>
      <c r="C487" s="4" t="s">
        <v>1730</v>
      </c>
      <c r="D487" s="4" t="s">
        <v>1143</v>
      </c>
      <c r="E487" s="4" t="s">
        <v>1746</v>
      </c>
      <c r="F487" s="4" t="s">
        <v>107</v>
      </c>
      <c r="G487" s="12">
        <v>42.5</v>
      </c>
      <c r="H487" s="12">
        <v>650</v>
      </c>
      <c r="I487" s="13">
        <v>27625</v>
      </c>
      <c r="J487" s="9">
        <f t="shared" si="14"/>
        <v>27625</v>
      </c>
      <c r="K487" s="9">
        <f t="shared" si="15"/>
        <v>0</v>
      </c>
      <c r="L487" s="4"/>
      <c r="M487" s="4">
        <v>4</v>
      </c>
      <c r="N487" s="4" t="s">
        <v>358</v>
      </c>
      <c r="O487" s="4" t="s">
        <v>56</v>
      </c>
      <c r="P487" s="4"/>
    </row>
    <row r="488" spans="1:16" ht="14" customHeight="1">
      <c r="A488" s="3" t="s">
        <v>1747</v>
      </c>
      <c r="B488" s="3" t="s">
        <v>1257</v>
      </c>
      <c r="C488" s="3" t="s">
        <v>1730</v>
      </c>
      <c r="D488" s="3" t="s">
        <v>1146</v>
      </c>
      <c r="E488" s="3" t="s">
        <v>1748</v>
      </c>
      <c r="F488" s="3" t="s">
        <v>107</v>
      </c>
      <c r="G488" s="10">
        <v>27.03</v>
      </c>
      <c r="H488" s="10">
        <v>650</v>
      </c>
      <c r="I488" s="11">
        <v>17570</v>
      </c>
      <c r="J488" s="8">
        <f t="shared" si="14"/>
        <v>17570</v>
      </c>
      <c r="K488" s="8">
        <f t="shared" si="15"/>
        <v>0</v>
      </c>
      <c r="L488" s="3"/>
      <c r="M488" s="3">
        <v>4</v>
      </c>
      <c r="N488" s="3" t="s">
        <v>358</v>
      </c>
      <c r="O488" s="3" t="s">
        <v>56</v>
      </c>
      <c r="P488" s="3"/>
    </row>
    <row r="489" spans="1:16" ht="14" customHeight="1">
      <c r="A489" s="4" t="s">
        <v>1749</v>
      </c>
      <c r="B489" s="4" t="s">
        <v>1257</v>
      </c>
      <c r="C489" s="4" t="s">
        <v>1750</v>
      </c>
      <c r="D489" s="4" t="s">
        <v>1123</v>
      </c>
      <c r="E489" s="4" t="s">
        <v>1751</v>
      </c>
      <c r="F489" s="4" t="s">
        <v>107</v>
      </c>
      <c r="G489" s="12">
        <v>75.84</v>
      </c>
      <c r="H489" s="12">
        <v>7000</v>
      </c>
      <c r="I489" s="13">
        <v>530880</v>
      </c>
      <c r="J489" s="9">
        <f t="shared" si="14"/>
        <v>530880</v>
      </c>
      <c r="K489" s="9">
        <f t="shared" si="15"/>
        <v>0</v>
      </c>
      <c r="L489" s="4"/>
      <c r="M489" s="4">
        <v>4</v>
      </c>
      <c r="N489" s="4" t="s">
        <v>358</v>
      </c>
      <c r="O489" s="4" t="s">
        <v>56</v>
      </c>
      <c r="P489" s="4"/>
    </row>
    <row r="490" spans="1:16" ht="14" customHeight="1">
      <c r="A490" s="3" t="s">
        <v>1752</v>
      </c>
      <c r="B490" s="3" t="s">
        <v>1257</v>
      </c>
      <c r="C490" s="3" t="s">
        <v>1750</v>
      </c>
      <c r="D490" s="3" t="s">
        <v>1126</v>
      </c>
      <c r="E490" s="3" t="s">
        <v>1753</v>
      </c>
      <c r="F490" s="3" t="s">
        <v>107</v>
      </c>
      <c r="G490" s="10">
        <v>138</v>
      </c>
      <c r="H490" s="10">
        <v>3500</v>
      </c>
      <c r="I490" s="11">
        <v>483000</v>
      </c>
      <c r="J490" s="8">
        <f t="shared" si="14"/>
        <v>483000</v>
      </c>
      <c r="K490" s="8">
        <f t="shared" si="15"/>
        <v>0</v>
      </c>
      <c r="L490" s="3"/>
      <c r="M490" s="3">
        <v>4</v>
      </c>
      <c r="N490" s="3" t="s">
        <v>358</v>
      </c>
      <c r="O490" s="3" t="s">
        <v>56</v>
      </c>
      <c r="P490" s="3"/>
    </row>
    <row r="491" spans="1:16" ht="14" customHeight="1">
      <c r="A491" s="4" t="s">
        <v>1754</v>
      </c>
      <c r="B491" s="4" t="s">
        <v>1257</v>
      </c>
      <c r="C491" s="4" t="s">
        <v>1750</v>
      </c>
      <c r="D491" s="4" t="s">
        <v>1129</v>
      </c>
      <c r="E491" s="4" t="s">
        <v>1755</v>
      </c>
      <c r="F491" s="4" t="s">
        <v>107</v>
      </c>
      <c r="G491" s="12">
        <v>158.68</v>
      </c>
      <c r="H491" s="12">
        <v>1750</v>
      </c>
      <c r="I491" s="13">
        <v>277690</v>
      </c>
      <c r="J491" s="9">
        <f t="shared" si="14"/>
        <v>277690</v>
      </c>
      <c r="K491" s="9">
        <f t="shared" si="15"/>
        <v>0</v>
      </c>
      <c r="L491" s="4"/>
      <c r="M491" s="4">
        <v>4</v>
      </c>
      <c r="N491" s="4" t="s">
        <v>358</v>
      </c>
      <c r="O491" s="4" t="s">
        <v>56</v>
      </c>
      <c r="P491" s="4"/>
    </row>
    <row r="492" spans="1:16" ht="14" customHeight="1">
      <c r="A492" s="3" t="s">
        <v>1756</v>
      </c>
      <c r="B492" s="3" t="s">
        <v>1257</v>
      </c>
      <c r="C492" s="3" t="s">
        <v>1750</v>
      </c>
      <c r="D492" s="3" t="s">
        <v>1132</v>
      </c>
      <c r="E492" s="3" t="s">
        <v>1757</v>
      </c>
      <c r="F492" s="3" t="s">
        <v>107</v>
      </c>
      <c r="G492" s="10">
        <v>527.53</v>
      </c>
      <c r="H492" s="10">
        <v>2400</v>
      </c>
      <c r="I492" s="11">
        <v>1266072</v>
      </c>
      <c r="J492" s="8">
        <f t="shared" si="14"/>
        <v>1266072</v>
      </c>
      <c r="K492" s="8">
        <f t="shared" si="15"/>
        <v>0</v>
      </c>
      <c r="L492" s="3"/>
      <c r="M492" s="3">
        <v>4</v>
      </c>
      <c r="N492" s="3" t="s">
        <v>358</v>
      </c>
      <c r="O492" s="3" t="s">
        <v>56</v>
      </c>
      <c r="P492" s="3"/>
    </row>
    <row r="493" spans="1:16" ht="14" customHeight="1">
      <c r="A493" s="4" t="s">
        <v>1758</v>
      </c>
      <c r="B493" s="4" t="s">
        <v>1257</v>
      </c>
      <c r="C493" s="4" t="s">
        <v>1750</v>
      </c>
      <c r="D493" s="4" t="s">
        <v>1135</v>
      </c>
      <c r="E493" s="4" t="s">
        <v>1759</v>
      </c>
      <c r="F493" s="4" t="s">
        <v>107</v>
      </c>
      <c r="G493" s="12">
        <v>2925</v>
      </c>
      <c r="H493" s="12">
        <v>1200</v>
      </c>
      <c r="I493" s="13">
        <v>3510000</v>
      </c>
      <c r="J493" s="9">
        <f t="shared" si="14"/>
        <v>3510000</v>
      </c>
      <c r="K493" s="9">
        <f t="shared" si="15"/>
        <v>0</v>
      </c>
      <c r="L493" s="4"/>
      <c r="M493" s="4">
        <v>4</v>
      </c>
      <c r="N493" s="4" t="s">
        <v>358</v>
      </c>
      <c r="O493" s="4" t="s">
        <v>56</v>
      </c>
      <c r="P493" s="4"/>
    </row>
    <row r="494" spans="1:16" ht="14" customHeight="1">
      <c r="A494" s="3" t="s">
        <v>1760</v>
      </c>
      <c r="B494" s="3" t="s">
        <v>1257</v>
      </c>
      <c r="C494" s="3" t="s">
        <v>1750</v>
      </c>
      <c r="D494" s="3" t="s">
        <v>1140</v>
      </c>
      <c r="E494" s="3" t="s">
        <v>1761</v>
      </c>
      <c r="F494" s="3" t="s">
        <v>107</v>
      </c>
      <c r="G494" s="10">
        <v>98</v>
      </c>
      <c r="H494" s="10">
        <v>1500</v>
      </c>
      <c r="I494" s="11">
        <v>147000</v>
      </c>
      <c r="J494" s="8">
        <f t="shared" si="14"/>
        <v>147000</v>
      </c>
      <c r="K494" s="8">
        <f t="shared" si="15"/>
        <v>0</v>
      </c>
      <c r="L494" s="3"/>
      <c r="M494" s="3">
        <v>4</v>
      </c>
      <c r="N494" s="3" t="s">
        <v>358</v>
      </c>
      <c r="O494" s="3" t="s">
        <v>56</v>
      </c>
      <c r="P494" s="3"/>
    </row>
    <row r="495" spans="1:16" ht="14" customHeight="1">
      <c r="A495" s="4" t="s">
        <v>1762</v>
      </c>
      <c r="B495" s="4" t="s">
        <v>1257</v>
      </c>
      <c r="C495" s="4" t="s">
        <v>1750</v>
      </c>
      <c r="D495" s="4" t="s">
        <v>1143</v>
      </c>
      <c r="E495" s="4" t="s">
        <v>1763</v>
      </c>
      <c r="F495" s="4" t="s">
        <v>421</v>
      </c>
      <c r="G495" s="12">
        <v>6</v>
      </c>
      <c r="H495" s="12">
        <v>65000</v>
      </c>
      <c r="I495" s="13">
        <v>390000</v>
      </c>
      <c r="J495" s="9">
        <f t="shared" si="14"/>
        <v>390000</v>
      </c>
      <c r="K495" s="9">
        <f t="shared" si="15"/>
        <v>0</v>
      </c>
      <c r="L495" s="4"/>
      <c r="M495" s="4">
        <v>4</v>
      </c>
      <c r="N495" s="4" t="s">
        <v>358</v>
      </c>
      <c r="O495" s="4" t="s">
        <v>56</v>
      </c>
      <c r="P495" s="4"/>
    </row>
    <row r="496" spans="1:16" ht="14" customHeight="1">
      <c r="A496" s="3" t="s">
        <v>1764</v>
      </c>
      <c r="B496" s="3" t="s">
        <v>1257</v>
      </c>
      <c r="C496" s="3" t="s">
        <v>1750</v>
      </c>
      <c r="D496" s="3" t="s">
        <v>1146</v>
      </c>
      <c r="E496" s="3" t="s">
        <v>1765</v>
      </c>
      <c r="F496" s="3" t="s">
        <v>107</v>
      </c>
      <c r="G496" s="10">
        <v>121.09</v>
      </c>
      <c r="H496" s="10">
        <v>1500</v>
      </c>
      <c r="I496" s="11">
        <v>181635</v>
      </c>
      <c r="J496" s="8">
        <f t="shared" si="14"/>
        <v>181635</v>
      </c>
      <c r="K496" s="8">
        <f t="shared" si="15"/>
        <v>0</v>
      </c>
      <c r="L496" s="3"/>
      <c r="M496" s="3">
        <v>4</v>
      </c>
      <c r="N496" s="3" t="s">
        <v>358</v>
      </c>
      <c r="O496" s="3" t="s">
        <v>56</v>
      </c>
      <c r="P496" s="3"/>
    </row>
    <row r="497" spans="1:16" ht="14" customHeight="1">
      <c r="A497" s="4" t="s">
        <v>1766</v>
      </c>
      <c r="B497" s="4" t="s">
        <v>1257</v>
      </c>
      <c r="C497" s="4" t="s">
        <v>1750</v>
      </c>
      <c r="D497" s="4" t="s">
        <v>1149</v>
      </c>
      <c r="E497" s="4" t="s">
        <v>1767</v>
      </c>
      <c r="F497" s="4" t="s">
        <v>107</v>
      </c>
      <c r="G497" s="12">
        <v>35</v>
      </c>
      <c r="H497" s="12">
        <v>1500</v>
      </c>
      <c r="I497" s="13">
        <v>52500</v>
      </c>
      <c r="J497" s="9">
        <f t="shared" si="14"/>
        <v>52500</v>
      </c>
      <c r="K497" s="9">
        <f t="shared" si="15"/>
        <v>0</v>
      </c>
      <c r="L497" s="4"/>
      <c r="M497" s="4">
        <v>4</v>
      </c>
      <c r="N497" s="4" t="s">
        <v>358</v>
      </c>
      <c r="O497" s="4" t="s">
        <v>56</v>
      </c>
      <c r="P497" s="4"/>
    </row>
    <row r="498" spans="1:16" ht="14" customHeight="1">
      <c r="A498" s="3" t="s">
        <v>1768</v>
      </c>
      <c r="B498" s="3" t="s">
        <v>1257</v>
      </c>
      <c r="C498" s="3" t="s">
        <v>1750</v>
      </c>
      <c r="D498" s="3" t="s">
        <v>1152</v>
      </c>
      <c r="E498" s="3" t="s">
        <v>1769</v>
      </c>
      <c r="F498" s="3" t="s">
        <v>107</v>
      </c>
      <c r="G498" s="10">
        <v>154.93</v>
      </c>
      <c r="H498" s="10">
        <v>1500</v>
      </c>
      <c r="I498" s="11">
        <v>232395</v>
      </c>
      <c r="J498" s="8">
        <f t="shared" si="14"/>
        <v>232395</v>
      </c>
      <c r="K498" s="8">
        <f t="shared" si="15"/>
        <v>0</v>
      </c>
      <c r="L498" s="3"/>
      <c r="M498" s="3">
        <v>4</v>
      </c>
      <c r="N498" s="3" t="s">
        <v>358</v>
      </c>
      <c r="O498" s="3" t="s">
        <v>56</v>
      </c>
      <c r="P498" s="3"/>
    </row>
    <row r="499" spans="1:16" ht="14" customHeight="1">
      <c r="A499" s="4" t="s">
        <v>1770</v>
      </c>
      <c r="B499" s="4" t="s">
        <v>1257</v>
      </c>
      <c r="C499" s="4" t="s">
        <v>1750</v>
      </c>
      <c r="D499" s="4" t="s">
        <v>1156</v>
      </c>
      <c r="E499" s="4" t="s">
        <v>1771</v>
      </c>
      <c r="F499" s="4" t="s">
        <v>107</v>
      </c>
      <c r="G499" s="12">
        <v>400.19</v>
      </c>
      <c r="H499" s="12">
        <v>1500</v>
      </c>
      <c r="I499" s="13">
        <v>600285</v>
      </c>
      <c r="J499" s="9">
        <f t="shared" si="14"/>
        <v>600285</v>
      </c>
      <c r="K499" s="9">
        <f t="shared" si="15"/>
        <v>0</v>
      </c>
      <c r="L499" s="4"/>
      <c r="M499" s="4">
        <v>4</v>
      </c>
      <c r="N499" s="4" t="s">
        <v>358</v>
      </c>
      <c r="O499" s="4" t="s">
        <v>56</v>
      </c>
      <c r="P499" s="4"/>
    </row>
    <row r="500" spans="1:16" ht="14" customHeight="1">
      <c r="A500" s="3" t="s">
        <v>1772</v>
      </c>
      <c r="B500" s="3" t="s">
        <v>1257</v>
      </c>
      <c r="C500" s="3" t="s">
        <v>1750</v>
      </c>
      <c r="D500" s="3" t="s">
        <v>1159</v>
      </c>
      <c r="E500" s="3" t="s">
        <v>1773</v>
      </c>
      <c r="F500" s="3" t="s">
        <v>107</v>
      </c>
      <c r="G500" s="10">
        <v>1701</v>
      </c>
      <c r="H500" s="10">
        <v>3250</v>
      </c>
      <c r="I500" s="11">
        <v>5528250</v>
      </c>
      <c r="J500" s="8">
        <f t="shared" si="14"/>
        <v>5528250</v>
      </c>
      <c r="K500" s="8">
        <f t="shared" si="15"/>
        <v>0</v>
      </c>
      <c r="L500" s="3"/>
      <c r="M500" s="3">
        <v>4</v>
      </c>
      <c r="N500" s="3" t="s">
        <v>358</v>
      </c>
      <c r="O500" s="3" t="s">
        <v>56</v>
      </c>
      <c r="P500" s="3"/>
    </row>
    <row r="501" spans="1:16" ht="14" customHeight="1">
      <c r="A501" s="4" t="s">
        <v>1774</v>
      </c>
      <c r="B501" s="4" t="s">
        <v>1257</v>
      </c>
      <c r="C501" s="4" t="s">
        <v>1750</v>
      </c>
      <c r="D501" s="4" t="s">
        <v>1162</v>
      </c>
      <c r="E501" s="4" t="s">
        <v>1775</v>
      </c>
      <c r="F501" s="4" t="s">
        <v>107</v>
      </c>
      <c r="G501" s="12">
        <v>95</v>
      </c>
      <c r="H501" s="12">
        <v>1750</v>
      </c>
      <c r="I501" s="13">
        <v>166250</v>
      </c>
      <c r="J501" s="9">
        <f t="shared" si="14"/>
        <v>166250</v>
      </c>
      <c r="K501" s="9">
        <f t="shared" si="15"/>
        <v>0</v>
      </c>
      <c r="L501" s="4"/>
      <c r="M501" s="4">
        <v>4</v>
      </c>
      <c r="N501" s="4" t="s">
        <v>358</v>
      </c>
      <c r="O501" s="4" t="s">
        <v>56</v>
      </c>
      <c r="P501" s="4"/>
    </row>
    <row r="502" spans="1:16" ht="14" customHeight="1">
      <c r="A502" s="3" t="s">
        <v>1776</v>
      </c>
      <c r="B502" s="3" t="s">
        <v>1257</v>
      </c>
      <c r="C502" s="3" t="s">
        <v>1750</v>
      </c>
      <c r="D502" s="3" t="s">
        <v>1165</v>
      </c>
      <c r="E502" s="3" t="s">
        <v>1777</v>
      </c>
      <c r="F502" s="3" t="s">
        <v>107</v>
      </c>
      <c r="G502" s="10">
        <v>55</v>
      </c>
      <c r="H502" s="10">
        <v>7000</v>
      </c>
      <c r="I502" s="11">
        <v>385000</v>
      </c>
      <c r="J502" s="8">
        <f t="shared" si="14"/>
        <v>385000</v>
      </c>
      <c r="K502" s="8">
        <f t="shared" si="15"/>
        <v>0</v>
      </c>
      <c r="L502" s="3"/>
      <c r="M502" s="3">
        <v>4</v>
      </c>
      <c r="N502" s="3" t="s">
        <v>358</v>
      </c>
      <c r="O502" s="3" t="s">
        <v>56</v>
      </c>
      <c r="P502" s="3"/>
    </row>
    <row r="503" spans="1:16" ht="14" customHeight="1">
      <c r="A503" s="4" t="s">
        <v>1778</v>
      </c>
      <c r="B503" s="4" t="s">
        <v>1257</v>
      </c>
      <c r="C503" s="4" t="s">
        <v>1779</v>
      </c>
      <c r="D503" s="4" t="s">
        <v>1123</v>
      </c>
      <c r="E503" s="4" t="s">
        <v>1780</v>
      </c>
      <c r="F503" s="4" t="s">
        <v>107</v>
      </c>
      <c r="G503" s="12">
        <v>3110.2</v>
      </c>
      <c r="H503" s="12">
        <v>2500</v>
      </c>
      <c r="I503" s="13">
        <v>7775500</v>
      </c>
      <c r="J503" s="9">
        <f t="shared" si="14"/>
        <v>7775500</v>
      </c>
      <c r="K503" s="9">
        <f t="shared" si="15"/>
        <v>0</v>
      </c>
      <c r="L503" s="4"/>
      <c r="M503" s="4">
        <v>4</v>
      </c>
      <c r="N503" s="4" t="s">
        <v>358</v>
      </c>
      <c r="O503" s="4" t="s">
        <v>56</v>
      </c>
      <c r="P503" s="4"/>
    </row>
    <row r="504" spans="1:16" ht="14" customHeight="1">
      <c r="A504" s="3" t="s">
        <v>1781</v>
      </c>
      <c r="B504" s="3" t="s">
        <v>1257</v>
      </c>
      <c r="C504" s="3" t="s">
        <v>1779</v>
      </c>
      <c r="D504" s="3" t="s">
        <v>1126</v>
      </c>
      <c r="E504" s="3" t="s">
        <v>1782</v>
      </c>
      <c r="F504" s="3" t="s">
        <v>107</v>
      </c>
      <c r="G504" s="10">
        <v>2485.3000000000002</v>
      </c>
      <c r="H504" s="10">
        <v>350</v>
      </c>
      <c r="I504" s="11">
        <v>869855</v>
      </c>
      <c r="J504" s="8">
        <f t="shared" si="14"/>
        <v>869855</v>
      </c>
      <c r="K504" s="8">
        <f t="shared" si="15"/>
        <v>0</v>
      </c>
      <c r="L504" s="3"/>
      <c r="M504" s="3">
        <v>5</v>
      </c>
      <c r="N504" s="3" t="s">
        <v>358</v>
      </c>
      <c r="O504" s="3" t="s">
        <v>56</v>
      </c>
      <c r="P504" s="3"/>
    </row>
    <row r="505" spans="1:16" ht="14" customHeight="1">
      <c r="A505" s="4" t="s">
        <v>1783</v>
      </c>
      <c r="B505" s="4" t="s">
        <v>1257</v>
      </c>
      <c r="C505" s="4" t="s">
        <v>1779</v>
      </c>
      <c r="D505" s="4" t="s">
        <v>1129</v>
      </c>
      <c r="E505" s="4" t="s">
        <v>1784</v>
      </c>
      <c r="F505" s="4" t="s">
        <v>107</v>
      </c>
      <c r="G505" s="12">
        <v>6934.29</v>
      </c>
      <c r="H505" s="12">
        <v>1450</v>
      </c>
      <c r="I505" s="13">
        <v>10054721</v>
      </c>
      <c r="J505" s="9">
        <f t="shared" si="14"/>
        <v>10054721</v>
      </c>
      <c r="K505" s="9">
        <f t="shared" si="15"/>
        <v>0</v>
      </c>
      <c r="L505" s="4"/>
      <c r="M505" s="4">
        <v>5</v>
      </c>
      <c r="N505" s="4" t="s">
        <v>358</v>
      </c>
      <c r="O505" s="4" t="s">
        <v>56</v>
      </c>
      <c r="P505" s="4"/>
    </row>
    <row r="506" spans="1:16" ht="14" customHeight="1">
      <c r="A506" s="3" t="s">
        <v>1785</v>
      </c>
      <c r="B506" s="3" t="s">
        <v>1257</v>
      </c>
      <c r="C506" s="3" t="s">
        <v>1779</v>
      </c>
      <c r="D506" s="3" t="s">
        <v>1132</v>
      </c>
      <c r="E506" s="3" t="s">
        <v>1786</v>
      </c>
      <c r="F506" s="3" t="s">
        <v>107</v>
      </c>
      <c r="G506" s="10">
        <v>332.64</v>
      </c>
      <c r="H506" s="10">
        <v>3500</v>
      </c>
      <c r="I506" s="11">
        <v>1164240</v>
      </c>
      <c r="J506" s="8">
        <f t="shared" si="14"/>
        <v>1164240</v>
      </c>
      <c r="K506" s="8">
        <f t="shared" si="15"/>
        <v>0</v>
      </c>
      <c r="L506" s="3"/>
      <c r="M506" s="3">
        <v>5</v>
      </c>
      <c r="N506" s="3" t="s">
        <v>358</v>
      </c>
      <c r="O506" s="3" t="s">
        <v>56</v>
      </c>
      <c r="P506" s="3"/>
    </row>
    <row r="507" spans="1:16" ht="14" customHeight="1">
      <c r="A507" s="4" t="s">
        <v>1787</v>
      </c>
      <c r="B507" s="4" t="s">
        <v>1257</v>
      </c>
      <c r="C507" s="4" t="s">
        <v>1779</v>
      </c>
      <c r="D507" s="4" t="s">
        <v>1135</v>
      </c>
      <c r="E507" s="4" t="s">
        <v>1788</v>
      </c>
      <c r="F507" s="4" t="s">
        <v>107</v>
      </c>
      <c r="G507" s="12">
        <v>578.38</v>
      </c>
      <c r="H507" s="12">
        <v>2100</v>
      </c>
      <c r="I507" s="13">
        <v>1214598</v>
      </c>
      <c r="J507" s="9">
        <f t="shared" si="14"/>
        <v>1214598</v>
      </c>
      <c r="K507" s="9">
        <f t="shared" si="15"/>
        <v>0</v>
      </c>
      <c r="L507" s="4"/>
      <c r="M507" s="4">
        <v>5</v>
      </c>
      <c r="N507" s="4" t="s">
        <v>358</v>
      </c>
      <c r="O507" s="4" t="s">
        <v>56</v>
      </c>
      <c r="P507" s="4"/>
    </row>
    <row r="508" spans="1:16" ht="14" customHeight="1">
      <c r="A508" s="3" t="s">
        <v>1789</v>
      </c>
      <c r="B508" s="3" t="s">
        <v>1257</v>
      </c>
      <c r="C508" s="3" t="s">
        <v>1790</v>
      </c>
      <c r="D508" s="3" t="s">
        <v>1123</v>
      </c>
      <c r="E508" s="3" t="s">
        <v>1791</v>
      </c>
      <c r="F508" s="3" t="s">
        <v>107</v>
      </c>
      <c r="G508" s="10">
        <v>293.86</v>
      </c>
      <c r="H508" s="10">
        <v>1450</v>
      </c>
      <c r="I508" s="11">
        <v>426097</v>
      </c>
      <c r="J508" s="8">
        <f t="shared" si="14"/>
        <v>426097</v>
      </c>
      <c r="K508" s="8">
        <f t="shared" si="15"/>
        <v>0</v>
      </c>
      <c r="L508" s="3"/>
      <c r="M508" s="3">
        <v>5</v>
      </c>
      <c r="N508" s="3" t="s">
        <v>358</v>
      </c>
      <c r="O508" s="3" t="s">
        <v>56</v>
      </c>
      <c r="P508" s="3"/>
    </row>
    <row r="509" spans="1:16" ht="14" customHeight="1">
      <c r="A509" s="4" t="s">
        <v>1792</v>
      </c>
      <c r="B509" s="4" t="s">
        <v>1257</v>
      </c>
      <c r="C509" s="4" t="s">
        <v>1790</v>
      </c>
      <c r="D509" s="4" t="s">
        <v>1126</v>
      </c>
      <c r="E509" s="4" t="s">
        <v>1793</v>
      </c>
      <c r="F509" s="4" t="s">
        <v>107</v>
      </c>
      <c r="G509" s="12">
        <v>1205.05</v>
      </c>
      <c r="H509" s="12">
        <v>950</v>
      </c>
      <c r="I509" s="13">
        <v>1144798</v>
      </c>
      <c r="J509" s="9">
        <f t="shared" si="14"/>
        <v>1144798</v>
      </c>
      <c r="K509" s="9">
        <f t="shared" si="15"/>
        <v>0</v>
      </c>
      <c r="L509" s="4"/>
      <c r="M509" s="4">
        <v>5</v>
      </c>
      <c r="N509" s="4" t="s">
        <v>358</v>
      </c>
      <c r="O509" s="4" t="s">
        <v>56</v>
      </c>
      <c r="P509" s="4"/>
    </row>
    <row r="510" spans="1:16" ht="14" customHeight="1">
      <c r="A510" s="3" t="s">
        <v>1794</v>
      </c>
      <c r="B510" s="3" t="s">
        <v>1257</v>
      </c>
      <c r="C510" s="3" t="s">
        <v>1790</v>
      </c>
      <c r="D510" s="3" t="s">
        <v>1129</v>
      </c>
      <c r="E510" s="3" t="s">
        <v>1795</v>
      </c>
      <c r="F510" s="3" t="s">
        <v>107</v>
      </c>
      <c r="G510" s="10">
        <v>122.69</v>
      </c>
      <c r="H510" s="10">
        <v>3500</v>
      </c>
      <c r="I510" s="11">
        <v>429415</v>
      </c>
      <c r="J510" s="8">
        <f t="shared" si="14"/>
        <v>429415</v>
      </c>
      <c r="K510" s="8">
        <f t="shared" si="15"/>
        <v>0</v>
      </c>
      <c r="L510" s="3"/>
      <c r="M510" s="3">
        <v>5</v>
      </c>
      <c r="N510" s="3" t="s">
        <v>358</v>
      </c>
      <c r="O510" s="3" t="s">
        <v>56</v>
      </c>
      <c r="P510" s="3"/>
    </row>
    <row r="511" spans="1:16" ht="14" customHeight="1">
      <c r="A511" s="4" t="s">
        <v>1796</v>
      </c>
      <c r="B511" s="4" t="s">
        <v>1257</v>
      </c>
      <c r="C511" s="4" t="s">
        <v>1790</v>
      </c>
      <c r="D511" s="4" t="s">
        <v>1132</v>
      </c>
      <c r="E511" s="4" t="s">
        <v>1797</v>
      </c>
      <c r="F511" s="4" t="s">
        <v>107</v>
      </c>
      <c r="G511" s="12">
        <v>176.87</v>
      </c>
      <c r="H511" s="12">
        <v>2450</v>
      </c>
      <c r="I511" s="13">
        <v>433332</v>
      </c>
      <c r="J511" s="9">
        <f t="shared" si="14"/>
        <v>433332</v>
      </c>
      <c r="K511" s="9">
        <f t="shared" si="15"/>
        <v>0</v>
      </c>
      <c r="L511" s="4"/>
      <c r="M511" s="4">
        <v>5</v>
      </c>
      <c r="N511" s="4" t="s">
        <v>358</v>
      </c>
      <c r="O511" s="4" t="s">
        <v>56</v>
      </c>
      <c r="P511" s="4"/>
    </row>
    <row r="512" spans="1:16" ht="14" customHeight="1">
      <c r="A512" s="3" t="s">
        <v>1798</v>
      </c>
      <c r="B512" s="3" t="s">
        <v>688</v>
      </c>
      <c r="C512" s="3"/>
      <c r="D512" s="3" t="s">
        <v>1123</v>
      </c>
      <c r="E512" s="3" t="s">
        <v>1799</v>
      </c>
      <c r="F512" s="3" t="s">
        <v>107</v>
      </c>
      <c r="G512" s="10">
        <v>1072.5</v>
      </c>
      <c r="H512" s="10">
        <v>2450</v>
      </c>
      <c r="I512" s="11">
        <v>2627625</v>
      </c>
      <c r="J512" s="8">
        <f t="shared" si="14"/>
        <v>2627625</v>
      </c>
      <c r="K512" s="8">
        <f t="shared" si="15"/>
        <v>0</v>
      </c>
      <c r="L512" s="3"/>
      <c r="M512" s="3">
        <v>5</v>
      </c>
      <c r="N512" s="3" t="s">
        <v>358</v>
      </c>
      <c r="O512" s="3" t="s">
        <v>56</v>
      </c>
      <c r="P512" s="3"/>
    </row>
    <row r="513" spans="1:16" ht="14" customHeight="1">
      <c r="A513" s="4" t="s">
        <v>1800</v>
      </c>
      <c r="B513" s="4" t="s">
        <v>688</v>
      </c>
      <c r="C513" s="4"/>
      <c r="D513" s="4" t="s">
        <v>1126</v>
      </c>
      <c r="E513" s="4" t="s">
        <v>1801</v>
      </c>
      <c r="F513" s="4" t="s">
        <v>107</v>
      </c>
      <c r="G513" s="12">
        <v>945</v>
      </c>
      <c r="H513" s="12">
        <v>6500</v>
      </c>
      <c r="I513" s="13">
        <v>6142500</v>
      </c>
      <c r="J513" s="9">
        <f t="shared" si="14"/>
        <v>6142500</v>
      </c>
      <c r="K513" s="9">
        <f t="shared" si="15"/>
        <v>0</v>
      </c>
      <c r="L513" s="4"/>
      <c r="M513" s="4">
        <v>5</v>
      </c>
      <c r="N513" s="4" t="s">
        <v>358</v>
      </c>
      <c r="O513" s="4" t="s">
        <v>56</v>
      </c>
      <c r="P513" s="4"/>
    </row>
    <row r="514" spans="1:16" ht="14" customHeight="1">
      <c r="A514" s="3" t="s">
        <v>1802</v>
      </c>
      <c r="B514" s="3" t="s">
        <v>688</v>
      </c>
      <c r="C514" s="3"/>
      <c r="D514" s="3" t="s">
        <v>1129</v>
      </c>
      <c r="E514" s="3" t="s">
        <v>1803</v>
      </c>
      <c r="F514" s="3" t="s">
        <v>107</v>
      </c>
      <c r="G514" s="10">
        <v>257.83999999999997</v>
      </c>
      <c r="H514" s="10">
        <v>5500</v>
      </c>
      <c r="I514" s="11">
        <v>1418120</v>
      </c>
      <c r="J514" s="8">
        <f t="shared" si="14"/>
        <v>1418120</v>
      </c>
      <c r="K514" s="8">
        <f t="shared" si="15"/>
        <v>0</v>
      </c>
      <c r="L514" s="3"/>
      <c r="M514" s="3">
        <v>5</v>
      </c>
      <c r="N514" s="3" t="s">
        <v>358</v>
      </c>
      <c r="O514" s="3" t="s">
        <v>56</v>
      </c>
      <c r="P514" s="3"/>
    </row>
    <row r="515" spans="1:16" ht="14" customHeight="1">
      <c r="A515" s="4" t="s">
        <v>1804</v>
      </c>
      <c r="B515" s="4" t="s">
        <v>688</v>
      </c>
      <c r="C515" s="4"/>
      <c r="D515" s="4" t="s">
        <v>1132</v>
      </c>
      <c r="E515" s="4" t="s">
        <v>1805</v>
      </c>
      <c r="F515" s="4" t="s">
        <v>107</v>
      </c>
      <c r="G515" s="12">
        <v>13.23</v>
      </c>
      <c r="H515" s="12">
        <v>4500</v>
      </c>
      <c r="I515" s="13">
        <v>59535</v>
      </c>
      <c r="J515" s="9">
        <f t="shared" si="14"/>
        <v>59535</v>
      </c>
      <c r="K515" s="9">
        <f t="shared" si="15"/>
        <v>0</v>
      </c>
      <c r="L515" s="4"/>
      <c r="M515" s="4">
        <v>5</v>
      </c>
      <c r="N515" s="4" t="s">
        <v>358</v>
      </c>
      <c r="O515" s="4" t="s">
        <v>56</v>
      </c>
      <c r="P515" s="4"/>
    </row>
    <row r="516" spans="1:16" ht="14" customHeight="1">
      <c r="A516" s="3" t="s">
        <v>1806</v>
      </c>
      <c r="B516" s="3" t="s">
        <v>688</v>
      </c>
      <c r="C516" s="3"/>
      <c r="D516" s="3" t="s">
        <v>1135</v>
      </c>
      <c r="E516" s="3" t="s">
        <v>1807</v>
      </c>
      <c r="F516" s="3" t="s">
        <v>107</v>
      </c>
      <c r="G516" s="10">
        <v>261.82</v>
      </c>
      <c r="H516" s="10">
        <v>2100</v>
      </c>
      <c r="I516" s="11">
        <v>549822</v>
      </c>
      <c r="J516" s="8">
        <f t="shared" si="14"/>
        <v>549822</v>
      </c>
      <c r="K516" s="8">
        <f t="shared" si="15"/>
        <v>0</v>
      </c>
      <c r="L516" s="3"/>
      <c r="M516" s="3">
        <v>5</v>
      </c>
      <c r="N516" s="3" t="s">
        <v>358</v>
      </c>
      <c r="O516" s="3" t="s">
        <v>56</v>
      </c>
      <c r="P516" s="3"/>
    </row>
    <row r="517" spans="1:16" ht="14" customHeight="1">
      <c r="A517" s="4" t="s">
        <v>1808</v>
      </c>
      <c r="B517" s="4" t="s">
        <v>688</v>
      </c>
      <c r="C517" s="4"/>
      <c r="D517" s="4" t="s">
        <v>1140</v>
      </c>
      <c r="E517" s="4" t="s">
        <v>1809</v>
      </c>
      <c r="F517" s="4" t="s">
        <v>107</v>
      </c>
      <c r="G517" s="12">
        <v>334.89</v>
      </c>
      <c r="H517" s="12">
        <v>1850</v>
      </c>
      <c r="I517" s="13">
        <v>619547</v>
      </c>
      <c r="J517" s="9">
        <f t="shared" si="14"/>
        <v>619547</v>
      </c>
      <c r="K517" s="9">
        <f t="shared" si="15"/>
        <v>0</v>
      </c>
      <c r="L517" s="4"/>
      <c r="M517" s="4">
        <v>5</v>
      </c>
      <c r="N517" s="4" t="s">
        <v>358</v>
      </c>
      <c r="O517" s="4" t="s">
        <v>56</v>
      </c>
      <c r="P517" s="4"/>
    </row>
    <row r="518" spans="1:16" ht="14" customHeight="1">
      <c r="A518" s="3" t="s">
        <v>1810</v>
      </c>
      <c r="B518" s="3" t="s">
        <v>688</v>
      </c>
      <c r="C518" s="3"/>
      <c r="D518" s="3" t="s">
        <v>1143</v>
      </c>
      <c r="E518" s="3" t="s">
        <v>1811</v>
      </c>
      <c r="F518" s="3" t="s">
        <v>107</v>
      </c>
      <c r="G518" s="10">
        <v>1048.3699999999999</v>
      </c>
      <c r="H518" s="10">
        <v>1200</v>
      </c>
      <c r="I518" s="11">
        <v>1258044</v>
      </c>
      <c r="J518" s="8">
        <f t="shared" ref="J518:J581" si="16">IF(OR(G518="",H518=""),"",ROUND(G518*H518,0))</f>
        <v>1258044</v>
      </c>
      <c r="K518" s="8">
        <f t="shared" ref="K518:K581" si="17">IF(OR(I518="",J518=""),"",I518-J518)</f>
        <v>0</v>
      </c>
      <c r="L518" s="3"/>
      <c r="M518" s="3">
        <v>5</v>
      </c>
      <c r="N518" s="3" t="s">
        <v>358</v>
      </c>
      <c r="O518" s="3" t="s">
        <v>56</v>
      </c>
      <c r="P518" s="3"/>
    </row>
    <row r="519" spans="1:16" ht="14" customHeight="1">
      <c r="A519" s="4" t="s">
        <v>1812</v>
      </c>
      <c r="B519" s="4" t="s">
        <v>688</v>
      </c>
      <c r="C519" s="4"/>
      <c r="D519" s="4" t="s">
        <v>1146</v>
      </c>
      <c r="E519" s="4" t="s">
        <v>1813</v>
      </c>
      <c r="F519" s="4" t="s">
        <v>162</v>
      </c>
      <c r="G519" s="12">
        <v>16.399999999999999</v>
      </c>
      <c r="H519" s="12">
        <v>4000</v>
      </c>
      <c r="I519" s="13">
        <v>65600</v>
      </c>
      <c r="J519" s="9">
        <f t="shared" si="16"/>
        <v>65600</v>
      </c>
      <c r="K519" s="9">
        <f t="shared" si="17"/>
        <v>0</v>
      </c>
      <c r="L519" s="4"/>
      <c r="M519" s="4">
        <v>5</v>
      </c>
      <c r="N519" s="4" t="s">
        <v>358</v>
      </c>
      <c r="O519" s="4" t="s">
        <v>56</v>
      </c>
      <c r="P519" s="4"/>
    </row>
    <row r="520" spans="1:16" ht="14" customHeight="1">
      <c r="A520" s="3" t="s">
        <v>1814</v>
      </c>
      <c r="B520" s="3" t="s">
        <v>688</v>
      </c>
      <c r="C520" s="3"/>
      <c r="D520" s="3" t="s">
        <v>1149</v>
      </c>
      <c r="E520" s="3" t="s">
        <v>1815</v>
      </c>
      <c r="F520" s="3" t="s">
        <v>162</v>
      </c>
      <c r="G520" s="10">
        <v>14.8</v>
      </c>
      <c r="H520" s="10">
        <v>8500</v>
      </c>
      <c r="I520" s="11">
        <v>125800</v>
      </c>
      <c r="J520" s="8">
        <f t="shared" si="16"/>
        <v>125800</v>
      </c>
      <c r="K520" s="8">
        <f t="shared" si="17"/>
        <v>0</v>
      </c>
      <c r="L520" s="3"/>
      <c r="M520" s="3">
        <v>5</v>
      </c>
      <c r="N520" s="3" t="s">
        <v>358</v>
      </c>
      <c r="O520" s="3" t="s">
        <v>56</v>
      </c>
      <c r="P520" s="3"/>
    </row>
    <row r="521" spans="1:16" ht="14" customHeight="1">
      <c r="A521" s="4" t="s">
        <v>1816</v>
      </c>
      <c r="B521" s="4" t="s">
        <v>688</v>
      </c>
      <c r="C521" s="4"/>
      <c r="D521" s="4" t="s">
        <v>1152</v>
      </c>
      <c r="E521" s="4" t="s">
        <v>1817</v>
      </c>
      <c r="F521" s="4" t="s">
        <v>357</v>
      </c>
      <c r="G521" s="12">
        <v>1</v>
      </c>
      <c r="H521" s="12">
        <v>200000</v>
      </c>
      <c r="I521" s="13">
        <v>200000</v>
      </c>
      <c r="J521" s="9">
        <f t="shared" si="16"/>
        <v>200000</v>
      </c>
      <c r="K521" s="9">
        <f t="shared" si="17"/>
        <v>0</v>
      </c>
      <c r="L521" s="4"/>
      <c r="M521" s="4">
        <v>5</v>
      </c>
      <c r="N521" s="4" t="s">
        <v>358</v>
      </c>
      <c r="O521" s="4" t="s">
        <v>56</v>
      </c>
      <c r="P521" s="4"/>
    </row>
    <row r="522" spans="1:16" ht="14" customHeight="1">
      <c r="A522" s="3" t="s">
        <v>1818</v>
      </c>
      <c r="B522" s="3" t="s">
        <v>58</v>
      </c>
      <c r="C522" s="3"/>
      <c r="D522" s="3" t="s">
        <v>1123</v>
      </c>
      <c r="E522" s="3" t="s">
        <v>1819</v>
      </c>
      <c r="F522" s="3" t="s">
        <v>166</v>
      </c>
      <c r="G522" s="10">
        <v>4</v>
      </c>
      <c r="H522" s="10">
        <v>4500</v>
      </c>
      <c r="I522" s="11">
        <v>18000</v>
      </c>
      <c r="J522" s="8">
        <f t="shared" si="16"/>
        <v>18000</v>
      </c>
      <c r="K522" s="8">
        <f t="shared" si="17"/>
        <v>0</v>
      </c>
      <c r="L522" s="3"/>
      <c r="M522" s="3">
        <v>5</v>
      </c>
      <c r="N522" s="3" t="s">
        <v>358</v>
      </c>
      <c r="O522" s="3" t="s">
        <v>58</v>
      </c>
      <c r="P522" s="3"/>
    </row>
    <row r="523" spans="1:16" ht="14" customHeight="1">
      <c r="A523" s="4" t="s">
        <v>1820</v>
      </c>
      <c r="B523" s="4" t="s">
        <v>58</v>
      </c>
      <c r="C523" s="4"/>
      <c r="D523" s="4" t="s">
        <v>1126</v>
      </c>
      <c r="E523" s="4" t="s">
        <v>1821</v>
      </c>
      <c r="F523" s="4" t="s">
        <v>166</v>
      </c>
      <c r="G523" s="12">
        <v>6</v>
      </c>
      <c r="H523" s="12">
        <v>10500</v>
      </c>
      <c r="I523" s="13">
        <v>63000</v>
      </c>
      <c r="J523" s="9">
        <f t="shared" si="16"/>
        <v>63000</v>
      </c>
      <c r="K523" s="9">
        <f t="shared" si="17"/>
        <v>0</v>
      </c>
      <c r="L523" s="4"/>
      <c r="M523" s="4">
        <v>5</v>
      </c>
      <c r="N523" s="4" t="s">
        <v>358</v>
      </c>
      <c r="O523" s="4" t="s">
        <v>58</v>
      </c>
      <c r="P523" s="4"/>
    </row>
    <row r="524" spans="1:16" ht="14" customHeight="1">
      <c r="A524" s="3" t="s">
        <v>1822</v>
      </c>
      <c r="B524" s="3" t="s">
        <v>58</v>
      </c>
      <c r="C524" s="3"/>
      <c r="D524" s="3" t="s">
        <v>1129</v>
      </c>
      <c r="E524" s="3" t="s">
        <v>1823</v>
      </c>
      <c r="F524" s="3" t="s">
        <v>166</v>
      </c>
      <c r="G524" s="10">
        <v>6</v>
      </c>
      <c r="H524" s="10">
        <v>18500</v>
      </c>
      <c r="I524" s="11">
        <v>111000</v>
      </c>
      <c r="J524" s="8">
        <f t="shared" si="16"/>
        <v>111000</v>
      </c>
      <c r="K524" s="8">
        <f t="shared" si="17"/>
        <v>0</v>
      </c>
      <c r="L524" s="3"/>
      <c r="M524" s="3">
        <v>5</v>
      </c>
      <c r="N524" s="3" t="s">
        <v>358</v>
      </c>
      <c r="O524" s="3" t="s">
        <v>58</v>
      </c>
      <c r="P524" s="3"/>
    </row>
    <row r="525" spans="1:16" ht="14" customHeight="1">
      <c r="A525" s="4" t="s">
        <v>1824</v>
      </c>
      <c r="B525" s="4" t="s">
        <v>58</v>
      </c>
      <c r="C525" s="4"/>
      <c r="D525" s="4" t="s">
        <v>1132</v>
      </c>
      <c r="E525" s="4" t="s">
        <v>1825</v>
      </c>
      <c r="F525" s="4" t="s">
        <v>166</v>
      </c>
      <c r="G525" s="12">
        <v>3</v>
      </c>
      <c r="H525" s="12">
        <v>45000</v>
      </c>
      <c r="I525" s="13">
        <v>135000</v>
      </c>
      <c r="J525" s="9">
        <f t="shared" si="16"/>
        <v>135000</v>
      </c>
      <c r="K525" s="9">
        <f t="shared" si="17"/>
        <v>0</v>
      </c>
      <c r="L525" s="4"/>
      <c r="M525" s="4">
        <v>5</v>
      </c>
      <c r="N525" s="4" t="s">
        <v>358</v>
      </c>
      <c r="O525" s="4" t="s">
        <v>58</v>
      </c>
      <c r="P525" s="4"/>
    </row>
    <row r="526" spans="1:16" ht="14" customHeight="1">
      <c r="A526" s="3" t="s">
        <v>1826</v>
      </c>
      <c r="B526" s="3" t="s">
        <v>58</v>
      </c>
      <c r="C526" s="3"/>
      <c r="D526" s="3" t="s">
        <v>1135</v>
      </c>
      <c r="E526" s="3" t="s">
        <v>1827</v>
      </c>
      <c r="F526" s="3" t="s">
        <v>166</v>
      </c>
      <c r="G526" s="10">
        <v>2</v>
      </c>
      <c r="H526" s="10">
        <v>42500</v>
      </c>
      <c r="I526" s="11">
        <v>85000</v>
      </c>
      <c r="J526" s="8">
        <f t="shared" si="16"/>
        <v>85000</v>
      </c>
      <c r="K526" s="8">
        <f t="shared" si="17"/>
        <v>0</v>
      </c>
      <c r="L526" s="3"/>
      <c r="M526" s="3">
        <v>5</v>
      </c>
      <c r="N526" s="3" t="s">
        <v>358</v>
      </c>
      <c r="O526" s="3" t="s">
        <v>58</v>
      </c>
      <c r="P526" s="3"/>
    </row>
    <row r="527" spans="1:16" ht="14" customHeight="1">
      <c r="A527" s="4" t="s">
        <v>1828</v>
      </c>
      <c r="B527" s="4" t="s">
        <v>58</v>
      </c>
      <c r="C527" s="4"/>
      <c r="D527" s="4" t="s">
        <v>1140</v>
      </c>
      <c r="E527" s="4" t="s">
        <v>1829</v>
      </c>
      <c r="F527" s="4" t="s">
        <v>166</v>
      </c>
      <c r="G527" s="12">
        <v>1</v>
      </c>
      <c r="H527" s="12">
        <v>13500</v>
      </c>
      <c r="I527" s="13">
        <v>13500</v>
      </c>
      <c r="J527" s="9">
        <f t="shared" si="16"/>
        <v>13500</v>
      </c>
      <c r="K527" s="9">
        <f t="shared" si="17"/>
        <v>0</v>
      </c>
      <c r="L527" s="4"/>
      <c r="M527" s="4">
        <v>5</v>
      </c>
      <c r="N527" s="4" t="s">
        <v>358</v>
      </c>
      <c r="O527" s="4" t="s">
        <v>58</v>
      </c>
      <c r="P527" s="4"/>
    </row>
    <row r="528" spans="1:16" ht="14" customHeight="1">
      <c r="A528" s="3" t="s">
        <v>1830</v>
      </c>
      <c r="B528" s="3" t="s">
        <v>58</v>
      </c>
      <c r="C528" s="3"/>
      <c r="D528" s="3" t="s">
        <v>1143</v>
      </c>
      <c r="E528" s="3" t="s">
        <v>1831</v>
      </c>
      <c r="F528" s="3" t="s">
        <v>166</v>
      </c>
      <c r="G528" s="10">
        <v>1</v>
      </c>
      <c r="H528" s="10">
        <v>14500</v>
      </c>
      <c r="I528" s="11">
        <v>14500</v>
      </c>
      <c r="J528" s="8">
        <f t="shared" si="16"/>
        <v>14500</v>
      </c>
      <c r="K528" s="8">
        <f t="shared" si="17"/>
        <v>0</v>
      </c>
      <c r="L528" s="3"/>
      <c r="M528" s="3">
        <v>5</v>
      </c>
      <c r="N528" s="3" t="s">
        <v>358</v>
      </c>
      <c r="O528" s="3" t="s">
        <v>58</v>
      </c>
      <c r="P528" s="3"/>
    </row>
    <row r="529" spans="1:16" ht="14" customHeight="1">
      <c r="A529" s="4" t="s">
        <v>1832</v>
      </c>
      <c r="B529" s="4" t="s">
        <v>58</v>
      </c>
      <c r="C529" s="4"/>
      <c r="D529" s="4" t="s">
        <v>1146</v>
      </c>
      <c r="E529" s="4" t="s">
        <v>1833</v>
      </c>
      <c r="F529" s="4" t="s">
        <v>166</v>
      </c>
      <c r="G529" s="12">
        <v>1</v>
      </c>
      <c r="H529" s="12">
        <v>28500</v>
      </c>
      <c r="I529" s="13">
        <v>28500</v>
      </c>
      <c r="J529" s="9">
        <f t="shared" si="16"/>
        <v>28500</v>
      </c>
      <c r="K529" s="9">
        <f t="shared" si="17"/>
        <v>0</v>
      </c>
      <c r="L529" s="4"/>
      <c r="M529" s="4">
        <v>5</v>
      </c>
      <c r="N529" s="4" t="s">
        <v>358</v>
      </c>
      <c r="O529" s="4" t="s">
        <v>58</v>
      </c>
      <c r="P529" s="4"/>
    </row>
    <row r="530" spans="1:16" ht="14" customHeight="1">
      <c r="A530" s="3" t="s">
        <v>1834</v>
      </c>
      <c r="B530" s="3" t="s">
        <v>58</v>
      </c>
      <c r="C530" s="3"/>
      <c r="D530" s="3" t="s">
        <v>1149</v>
      </c>
      <c r="E530" s="3" t="s">
        <v>1835</v>
      </c>
      <c r="F530" s="3" t="s">
        <v>166</v>
      </c>
      <c r="G530" s="10">
        <v>1</v>
      </c>
      <c r="H530" s="10">
        <v>49500</v>
      </c>
      <c r="I530" s="11">
        <v>49500</v>
      </c>
      <c r="J530" s="8">
        <f t="shared" si="16"/>
        <v>49500</v>
      </c>
      <c r="K530" s="8">
        <f t="shared" si="17"/>
        <v>0</v>
      </c>
      <c r="L530" s="3"/>
      <c r="M530" s="3">
        <v>6</v>
      </c>
      <c r="N530" s="3" t="s">
        <v>358</v>
      </c>
      <c r="O530" s="3" t="s">
        <v>58</v>
      </c>
      <c r="P530" s="3"/>
    </row>
    <row r="531" spans="1:16" ht="14" customHeight="1">
      <c r="A531" s="4" t="s">
        <v>1836</v>
      </c>
      <c r="B531" s="4" t="s">
        <v>58</v>
      </c>
      <c r="C531" s="4"/>
      <c r="D531" s="4" t="s">
        <v>1152</v>
      </c>
      <c r="E531" s="4" t="s">
        <v>1837</v>
      </c>
      <c r="F531" s="4" t="s">
        <v>166</v>
      </c>
      <c r="G531" s="12">
        <v>2</v>
      </c>
      <c r="H531" s="12">
        <v>22500</v>
      </c>
      <c r="I531" s="13">
        <v>45000</v>
      </c>
      <c r="J531" s="9">
        <f t="shared" si="16"/>
        <v>45000</v>
      </c>
      <c r="K531" s="9">
        <f t="shared" si="17"/>
        <v>0</v>
      </c>
      <c r="L531" s="4"/>
      <c r="M531" s="4">
        <v>6</v>
      </c>
      <c r="N531" s="4" t="s">
        <v>358</v>
      </c>
      <c r="O531" s="4" t="s">
        <v>58</v>
      </c>
      <c r="P531" s="4"/>
    </row>
    <row r="532" spans="1:16" ht="14" customHeight="1">
      <c r="A532" s="3" t="s">
        <v>1838</v>
      </c>
      <c r="B532" s="3" t="s">
        <v>58</v>
      </c>
      <c r="C532" s="3"/>
      <c r="D532" s="3" t="s">
        <v>1156</v>
      </c>
      <c r="E532" s="3" t="s">
        <v>1839</v>
      </c>
      <c r="F532" s="3" t="s">
        <v>166</v>
      </c>
      <c r="G532" s="10">
        <v>1</v>
      </c>
      <c r="H532" s="10">
        <v>52500</v>
      </c>
      <c r="I532" s="11">
        <v>52500</v>
      </c>
      <c r="J532" s="8">
        <f t="shared" si="16"/>
        <v>52500</v>
      </c>
      <c r="K532" s="8">
        <f t="shared" si="17"/>
        <v>0</v>
      </c>
      <c r="L532" s="3"/>
      <c r="M532" s="3">
        <v>6</v>
      </c>
      <c r="N532" s="3" t="s">
        <v>358</v>
      </c>
      <c r="O532" s="3" t="s">
        <v>58</v>
      </c>
      <c r="P532" s="3"/>
    </row>
    <row r="533" spans="1:16" ht="14" customHeight="1">
      <c r="A533" s="4" t="s">
        <v>1840</v>
      </c>
      <c r="B533" s="4" t="s">
        <v>58</v>
      </c>
      <c r="C533" s="4"/>
      <c r="D533" s="4" t="s">
        <v>1159</v>
      </c>
      <c r="E533" s="4" t="s">
        <v>1841</v>
      </c>
      <c r="F533" s="4" t="s">
        <v>166</v>
      </c>
      <c r="G533" s="12">
        <v>1</v>
      </c>
      <c r="H533" s="12">
        <v>30000</v>
      </c>
      <c r="I533" s="13">
        <v>30000</v>
      </c>
      <c r="J533" s="9">
        <f t="shared" si="16"/>
        <v>30000</v>
      </c>
      <c r="K533" s="9">
        <f t="shared" si="17"/>
        <v>0</v>
      </c>
      <c r="L533" s="4"/>
      <c r="M533" s="4">
        <v>6</v>
      </c>
      <c r="N533" s="4" t="s">
        <v>358</v>
      </c>
      <c r="O533" s="4" t="s">
        <v>58</v>
      </c>
      <c r="P533" s="4"/>
    </row>
    <row r="534" spans="1:16" ht="14" customHeight="1">
      <c r="A534" s="3" t="s">
        <v>1842</v>
      </c>
      <c r="B534" s="3" t="s">
        <v>58</v>
      </c>
      <c r="C534" s="3"/>
      <c r="D534" s="3" t="s">
        <v>1162</v>
      </c>
      <c r="E534" s="3" t="s">
        <v>1843</v>
      </c>
      <c r="F534" s="3" t="s">
        <v>166</v>
      </c>
      <c r="G534" s="10">
        <v>1</v>
      </c>
      <c r="H534" s="10">
        <v>64532</v>
      </c>
      <c r="I534" s="11">
        <v>64532</v>
      </c>
      <c r="J534" s="8">
        <f t="shared" si="16"/>
        <v>64532</v>
      </c>
      <c r="K534" s="8">
        <f t="shared" si="17"/>
        <v>0</v>
      </c>
      <c r="L534" s="3"/>
      <c r="M534" s="3">
        <v>6</v>
      </c>
      <c r="N534" s="3" t="s">
        <v>358</v>
      </c>
      <c r="O534" s="3" t="s">
        <v>58</v>
      </c>
      <c r="P534" s="3"/>
    </row>
    <row r="535" spans="1:16" ht="14" customHeight="1">
      <c r="A535" s="4" t="s">
        <v>1844</v>
      </c>
      <c r="B535" s="4" t="s">
        <v>58</v>
      </c>
      <c r="C535" s="4"/>
      <c r="D535" s="4" t="s">
        <v>1165</v>
      </c>
      <c r="E535" s="4" t="s">
        <v>1845</v>
      </c>
      <c r="F535" s="4" t="s">
        <v>166</v>
      </c>
      <c r="G535" s="12">
        <v>6</v>
      </c>
      <c r="H535" s="12">
        <v>21350</v>
      </c>
      <c r="I535" s="13">
        <v>128100</v>
      </c>
      <c r="J535" s="9">
        <f t="shared" si="16"/>
        <v>128100</v>
      </c>
      <c r="K535" s="9">
        <f t="shared" si="17"/>
        <v>0</v>
      </c>
      <c r="L535" s="4"/>
      <c r="M535" s="4">
        <v>6</v>
      </c>
      <c r="N535" s="4" t="s">
        <v>358</v>
      </c>
      <c r="O535" s="4" t="s">
        <v>58</v>
      </c>
      <c r="P535" s="4"/>
    </row>
    <row r="536" spans="1:16" ht="14" customHeight="1">
      <c r="A536" s="3" t="s">
        <v>1846</v>
      </c>
      <c r="B536" s="3" t="s">
        <v>58</v>
      </c>
      <c r="C536" s="3"/>
      <c r="D536" s="3" t="s">
        <v>1168</v>
      </c>
      <c r="E536" s="3" t="s">
        <v>1847</v>
      </c>
      <c r="F536" s="3" t="s">
        <v>166</v>
      </c>
      <c r="G536" s="10">
        <v>1</v>
      </c>
      <c r="H536" s="10">
        <v>10500</v>
      </c>
      <c r="I536" s="11">
        <v>10500</v>
      </c>
      <c r="J536" s="8">
        <f t="shared" si="16"/>
        <v>10500</v>
      </c>
      <c r="K536" s="8">
        <f t="shared" si="17"/>
        <v>0</v>
      </c>
      <c r="L536" s="3"/>
      <c r="M536" s="3">
        <v>6</v>
      </c>
      <c r="N536" s="3" t="s">
        <v>358</v>
      </c>
      <c r="O536" s="3" t="s">
        <v>58</v>
      </c>
      <c r="P536" s="3"/>
    </row>
    <row r="537" spans="1:16" ht="14" customHeight="1">
      <c r="A537" s="4" t="s">
        <v>1848</v>
      </c>
      <c r="B537" s="4" t="s">
        <v>58</v>
      </c>
      <c r="C537" s="4"/>
      <c r="D537" s="4" t="s">
        <v>1171</v>
      </c>
      <c r="E537" s="4" t="s">
        <v>1849</v>
      </c>
      <c r="F537" s="4" t="s">
        <v>166</v>
      </c>
      <c r="G537" s="12">
        <v>3</v>
      </c>
      <c r="H537" s="12">
        <v>10501</v>
      </c>
      <c r="I537" s="13">
        <v>31503</v>
      </c>
      <c r="J537" s="9">
        <f t="shared" si="16"/>
        <v>31503</v>
      </c>
      <c r="K537" s="9">
        <f t="shared" si="17"/>
        <v>0</v>
      </c>
      <c r="L537" s="4"/>
      <c r="M537" s="4">
        <v>6</v>
      </c>
      <c r="N537" s="4" t="s">
        <v>358</v>
      </c>
      <c r="O537" s="4" t="s">
        <v>58</v>
      </c>
      <c r="P537" s="4"/>
    </row>
    <row r="538" spans="1:16" ht="14" customHeight="1">
      <c r="A538" s="3" t="s">
        <v>1850</v>
      </c>
      <c r="B538" s="3" t="s">
        <v>58</v>
      </c>
      <c r="C538" s="3"/>
      <c r="D538" s="3" t="s">
        <v>1175</v>
      </c>
      <c r="E538" s="3" t="s">
        <v>1851</v>
      </c>
      <c r="F538" s="3" t="s">
        <v>166</v>
      </c>
      <c r="G538" s="10">
        <v>8</v>
      </c>
      <c r="H538" s="10">
        <v>28448</v>
      </c>
      <c r="I538" s="11">
        <v>227584</v>
      </c>
      <c r="J538" s="8">
        <f t="shared" si="16"/>
        <v>227584</v>
      </c>
      <c r="K538" s="8">
        <f t="shared" si="17"/>
        <v>0</v>
      </c>
      <c r="L538" s="3"/>
      <c r="M538" s="3">
        <v>6</v>
      </c>
      <c r="N538" s="3" t="s">
        <v>358</v>
      </c>
      <c r="O538" s="3" t="s">
        <v>58</v>
      </c>
      <c r="P538" s="3"/>
    </row>
    <row r="539" spans="1:16" ht="14" customHeight="1">
      <c r="A539" s="4" t="s">
        <v>1852</v>
      </c>
      <c r="B539" s="4" t="s">
        <v>58</v>
      </c>
      <c r="C539" s="4"/>
      <c r="D539" s="4" t="s">
        <v>1178</v>
      </c>
      <c r="E539" s="4" t="s">
        <v>1853</v>
      </c>
      <c r="F539" s="4" t="s">
        <v>166</v>
      </c>
      <c r="G539" s="12">
        <v>2</v>
      </c>
      <c r="H539" s="12">
        <v>28476</v>
      </c>
      <c r="I539" s="13">
        <v>56952</v>
      </c>
      <c r="J539" s="9">
        <f t="shared" si="16"/>
        <v>56952</v>
      </c>
      <c r="K539" s="9">
        <f t="shared" si="17"/>
        <v>0</v>
      </c>
      <c r="L539" s="4"/>
      <c r="M539" s="4">
        <v>6</v>
      </c>
      <c r="N539" s="4" t="s">
        <v>358</v>
      </c>
      <c r="O539" s="4" t="s">
        <v>58</v>
      </c>
      <c r="P539" s="4"/>
    </row>
    <row r="540" spans="1:16" ht="14" customHeight="1">
      <c r="A540" s="3" t="s">
        <v>1854</v>
      </c>
      <c r="B540" s="3" t="s">
        <v>58</v>
      </c>
      <c r="C540" s="3"/>
      <c r="D540" s="3" t="s">
        <v>1408</v>
      </c>
      <c r="E540" s="3" t="s">
        <v>1855</v>
      </c>
      <c r="F540" s="3" t="s">
        <v>166</v>
      </c>
      <c r="G540" s="10">
        <v>1</v>
      </c>
      <c r="H540" s="10">
        <v>48568</v>
      </c>
      <c r="I540" s="11">
        <v>48568</v>
      </c>
      <c r="J540" s="8">
        <f t="shared" si="16"/>
        <v>48568</v>
      </c>
      <c r="K540" s="8">
        <f t="shared" si="17"/>
        <v>0</v>
      </c>
      <c r="L540" s="3"/>
      <c r="M540" s="3">
        <v>6</v>
      </c>
      <c r="N540" s="3" t="s">
        <v>358</v>
      </c>
      <c r="O540" s="3" t="s">
        <v>58</v>
      </c>
      <c r="P540" s="3"/>
    </row>
    <row r="541" spans="1:16" ht="14" customHeight="1">
      <c r="A541" s="4" t="s">
        <v>1856</v>
      </c>
      <c r="B541" s="4" t="s">
        <v>58</v>
      </c>
      <c r="C541" s="4"/>
      <c r="D541" s="4" t="s">
        <v>1412</v>
      </c>
      <c r="E541" s="4" t="s">
        <v>1857</v>
      </c>
      <c r="F541" s="4" t="s">
        <v>166</v>
      </c>
      <c r="G541" s="12">
        <v>2</v>
      </c>
      <c r="H541" s="12">
        <v>28448</v>
      </c>
      <c r="I541" s="13">
        <v>56896</v>
      </c>
      <c r="J541" s="9">
        <f t="shared" si="16"/>
        <v>56896</v>
      </c>
      <c r="K541" s="9">
        <f t="shared" si="17"/>
        <v>0</v>
      </c>
      <c r="L541" s="4"/>
      <c r="M541" s="4">
        <v>6</v>
      </c>
      <c r="N541" s="4" t="s">
        <v>358</v>
      </c>
      <c r="O541" s="4" t="s">
        <v>58</v>
      </c>
      <c r="P541" s="4"/>
    </row>
    <row r="542" spans="1:16" ht="14" customHeight="1">
      <c r="A542" s="3" t="s">
        <v>1858</v>
      </c>
      <c r="B542" s="3" t="s">
        <v>58</v>
      </c>
      <c r="C542" s="3"/>
      <c r="D542" s="3" t="s">
        <v>1416</v>
      </c>
      <c r="E542" s="3" t="s">
        <v>1859</v>
      </c>
      <c r="F542" s="3" t="s">
        <v>166</v>
      </c>
      <c r="G542" s="10">
        <v>1</v>
      </c>
      <c r="H542" s="10">
        <v>52623</v>
      </c>
      <c r="I542" s="11">
        <v>52623</v>
      </c>
      <c r="J542" s="8">
        <f t="shared" si="16"/>
        <v>52623</v>
      </c>
      <c r="K542" s="8">
        <f t="shared" si="17"/>
        <v>0</v>
      </c>
      <c r="L542" s="3"/>
      <c r="M542" s="3">
        <v>6</v>
      </c>
      <c r="N542" s="3" t="s">
        <v>358</v>
      </c>
      <c r="O542" s="3" t="s">
        <v>58</v>
      </c>
      <c r="P542" s="3"/>
    </row>
    <row r="543" spans="1:16" ht="14" customHeight="1">
      <c r="A543" s="4" t="s">
        <v>1860</v>
      </c>
      <c r="B543" s="4" t="s">
        <v>58</v>
      </c>
      <c r="C543" s="4"/>
      <c r="D543" s="4" t="s">
        <v>1419</v>
      </c>
      <c r="E543" s="4" t="s">
        <v>1861</v>
      </c>
      <c r="F543" s="4" t="s">
        <v>166</v>
      </c>
      <c r="G543" s="12">
        <v>1</v>
      </c>
      <c r="H543" s="12">
        <v>118000</v>
      </c>
      <c r="I543" s="13">
        <v>118000</v>
      </c>
      <c r="J543" s="9">
        <f t="shared" si="16"/>
        <v>118000</v>
      </c>
      <c r="K543" s="9">
        <f t="shared" si="17"/>
        <v>0</v>
      </c>
      <c r="L543" s="4"/>
      <c r="M543" s="4">
        <v>6</v>
      </c>
      <c r="N543" s="4" t="s">
        <v>358</v>
      </c>
      <c r="O543" s="4" t="s">
        <v>58</v>
      </c>
      <c r="P543" s="4"/>
    </row>
    <row r="544" spans="1:16" ht="14" customHeight="1">
      <c r="A544" s="3" t="s">
        <v>1862</v>
      </c>
      <c r="B544" s="3" t="s">
        <v>58</v>
      </c>
      <c r="C544" s="3"/>
      <c r="D544" s="3" t="s">
        <v>1423</v>
      </c>
      <c r="E544" s="3" t="s">
        <v>1863</v>
      </c>
      <c r="F544" s="3" t="s">
        <v>166</v>
      </c>
      <c r="G544" s="10">
        <v>1</v>
      </c>
      <c r="H544" s="10">
        <v>128000</v>
      </c>
      <c r="I544" s="11">
        <v>128000</v>
      </c>
      <c r="J544" s="8">
        <f t="shared" si="16"/>
        <v>128000</v>
      </c>
      <c r="K544" s="8">
        <f t="shared" si="17"/>
        <v>0</v>
      </c>
      <c r="L544" s="3"/>
      <c r="M544" s="3">
        <v>6</v>
      </c>
      <c r="N544" s="3" t="s">
        <v>358</v>
      </c>
      <c r="O544" s="3" t="s">
        <v>58</v>
      </c>
      <c r="P544" s="3"/>
    </row>
    <row r="545" spans="1:16" ht="14" customHeight="1">
      <c r="A545" s="4" t="s">
        <v>1864</v>
      </c>
      <c r="B545" s="4" t="s">
        <v>58</v>
      </c>
      <c r="C545" s="4"/>
      <c r="D545" s="4" t="s">
        <v>1426</v>
      </c>
      <c r="E545" s="4" t="s">
        <v>1865</v>
      </c>
      <c r="F545" s="4" t="s">
        <v>166</v>
      </c>
      <c r="G545" s="12">
        <v>1</v>
      </c>
      <c r="H545" s="12">
        <v>139000</v>
      </c>
      <c r="I545" s="13">
        <v>139000</v>
      </c>
      <c r="J545" s="9">
        <f t="shared" si="16"/>
        <v>139000</v>
      </c>
      <c r="K545" s="9">
        <f t="shared" si="17"/>
        <v>0</v>
      </c>
      <c r="L545" s="4"/>
      <c r="M545" s="4">
        <v>6</v>
      </c>
      <c r="N545" s="4" t="s">
        <v>358</v>
      </c>
      <c r="O545" s="4" t="s">
        <v>58</v>
      </c>
      <c r="P545" s="4"/>
    </row>
    <row r="546" spans="1:16" ht="14" customHeight="1">
      <c r="A546" s="3" t="s">
        <v>1866</v>
      </c>
      <c r="B546" s="3" t="s">
        <v>58</v>
      </c>
      <c r="C546" s="3"/>
      <c r="D546" s="3" t="s">
        <v>1429</v>
      </c>
      <c r="E546" s="3" t="s">
        <v>1867</v>
      </c>
      <c r="F546" s="3" t="s">
        <v>166</v>
      </c>
      <c r="G546" s="10">
        <v>2</v>
      </c>
      <c r="H546" s="10">
        <v>265000</v>
      </c>
      <c r="I546" s="11">
        <v>530000</v>
      </c>
      <c r="J546" s="8">
        <f t="shared" si="16"/>
        <v>530000</v>
      </c>
      <c r="K546" s="8">
        <f t="shared" si="17"/>
        <v>0</v>
      </c>
      <c r="L546" s="3"/>
      <c r="M546" s="3">
        <v>6</v>
      </c>
      <c r="N546" s="3" t="s">
        <v>358</v>
      </c>
      <c r="O546" s="3" t="s">
        <v>58</v>
      </c>
      <c r="P546" s="3"/>
    </row>
    <row r="547" spans="1:16" ht="14" customHeight="1">
      <c r="A547" s="4" t="s">
        <v>1868</v>
      </c>
      <c r="B547" s="4" t="s">
        <v>58</v>
      </c>
      <c r="C547" s="4"/>
      <c r="D547" s="4" t="s">
        <v>1432</v>
      </c>
      <c r="E547" s="4" t="s">
        <v>1869</v>
      </c>
      <c r="F547" s="4" t="s">
        <v>166</v>
      </c>
      <c r="G547" s="12">
        <v>1</v>
      </c>
      <c r="H547" s="12">
        <v>260000</v>
      </c>
      <c r="I547" s="13">
        <v>260000</v>
      </c>
      <c r="J547" s="9">
        <f t="shared" si="16"/>
        <v>260000</v>
      </c>
      <c r="K547" s="9">
        <f t="shared" si="17"/>
        <v>0</v>
      </c>
      <c r="L547" s="4"/>
      <c r="M547" s="4">
        <v>6</v>
      </c>
      <c r="N547" s="4" t="s">
        <v>358</v>
      </c>
      <c r="O547" s="4" t="s">
        <v>58</v>
      </c>
      <c r="P547" s="4"/>
    </row>
    <row r="548" spans="1:16" ht="14" customHeight="1">
      <c r="A548" s="3" t="s">
        <v>1870</v>
      </c>
      <c r="B548" s="3" t="s">
        <v>58</v>
      </c>
      <c r="C548" s="3"/>
      <c r="D548" s="3" t="s">
        <v>1435</v>
      </c>
      <c r="E548" s="3" t="s">
        <v>1871</v>
      </c>
      <c r="F548" s="3" t="s">
        <v>166</v>
      </c>
      <c r="G548" s="10">
        <v>27</v>
      </c>
      <c r="H548" s="10">
        <v>14762</v>
      </c>
      <c r="I548" s="11">
        <v>398574</v>
      </c>
      <c r="J548" s="8">
        <f t="shared" si="16"/>
        <v>398574</v>
      </c>
      <c r="K548" s="8">
        <f t="shared" si="17"/>
        <v>0</v>
      </c>
      <c r="L548" s="3" t="s">
        <v>1872</v>
      </c>
      <c r="M548" s="3">
        <v>6</v>
      </c>
      <c r="N548" s="3" t="s">
        <v>358</v>
      </c>
      <c r="O548" s="3" t="s">
        <v>58</v>
      </c>
      <c r="P548" s="3"/>
    </row>
    <row r="549" spans="1:16" ht="14" customHeight="1">
      <c r="A549" s="4" t="s">
        <v>1873</v>
      </c>
      <c r="B549" s="4" t="s">
        <v>58</v>
      </c>
      <c r="C549" s="4"/>
      <c r="D549" s="4" t="s">
        <v>1438</v>
      </c>
      <c r="E549" s="4" t="s">
        <v>1874</v>
      </c>
      <c r="F549" s="4" t="s">
        <v>166</v>
      </c>
      <c r="G549" s="12">
        <v>1</v>
      </c>
      <c r="H549" s="12">
        <v>24904</v>
      </c>
      <c r="I549" s="13">
        <v>24904</v>
      </c>
      <c r="J549" s="9">
        <f t="shared" si="16"/>
        <v>24904</v>
      </c>
      <c r="K549" s="9">
        <f t="shared" si="17"/>
        <v>0</v>
      </c>
      <c r="L549" s="4" t="s">
        <v>1872</v>
      </c>
      <c r="M549" s="4">
        <v>6</v>
      </c>
      <c r="N549" s="4" t="s">
        <v>358</v>
      </c>
      <c r="O549" s="4" t="s">
        <v>58</v>
      </c>
      <c r="P549" s="4"/>
    </row>
    <row r="550" spans="1:16" ht="14" customHeight="1">
      <c r="A550" s="3" t="s">
        <v>1875</v>
      </c>
      <c r="B550" s="3" t="s">
        <v>58</v>
      </c>
      <c r="C550" s="3"/>
      <c r="D550" s="3" t="s">
        <v>1441</v>
      </c>
      <c r="E550" s="3" t="s">
        <v>1876</v>
      </c>
      <c r="F550" s="3" t="s">
        <v>166</v>
      </c>
      <c r="G550" s="10">
        <v>2</v>
      </c>
      <c r="H550" s="10">
        <v>26136</v>
      </c>
      <c r="I550" s="11">
        <v>52272</v>
      </c>
      <c r="J550" s="8">
        <f t="shared" si="16"/>
        <v>52272</v>
      </c>
      <c r="K550" s="8">
        <f t="shared" si="17"/>
        <v>0</v>
      </c>
      <c r="L550" s="3" t="s">
        <v>1872</v>
      </c>
      <c r="M550" s="3">
        <v>6</v>
      </c>
      <c r="N550" s="3" t="s">
        <v>358</v>
      </c>
      <c r="O550" s="3" t="s">
        <v>58</v>
      </c>
      <c r="P550" s="3"/>
    </row>
    <row r="551" spans="1:16" ht="14" customHeight="1">
      <c r="A551" s="4" t="s">
        <v>1877</v>
      </c>
      <c r="B551" s="4" t="s">
        <v>58</v>
      </c>
      <c r="C551" s="4"/>
      <c r="D551" s="4" t="s">
        <v>1444</v>
      </c>
      <c r="E551" s="4" t="s">
        <v>1878</v>
      </c>
      <c r="F551" s="4" t="s">
        <v>166</v>
      </c>
      <c r="G551" s="12">
        <v>4</v>
      </c>
      <c r="H551" s="12">
        <v>46883</v>
      </c>
      <c r="I551" s="13">
        <v>187532</v>
      </c>
      <c r="J551" s="9">
        <f t="shared" si="16"/>
        <v>187532</v>
      </c>
      <c r="K551" s="9">
        <f t="shared" si="17"/>
        <v>0</v>
      </c>
      <c r="L551" s="4" t="s">
        <v>1872</v>
      </c>
      <c r="M551" s="4">
        <v>6</v>
      </c>
      <c r="N551" s="4" t="s">
        <v>358</v>
      </c>
      <c r="O551" s="4" t="s">
        <v>58</v>
      </c>
      <c r="P551" s="4"/>
    </row>
    <row r="552" spans="1:16" ht="14" customHeight="1">
      <c r="A552" s="3" t="s">
        <v>1879</v>
      </c>
      <c r="B552" s="3" t="s">
        <v>58</v>
      </c>
      <c r="C552" s="3"/>
      <c r="D552" s="3" t="s">
        <v>1448</v>
      </c>
      <c r="E552" s="3" t="s">
        <v>1880</v>
      </c>
      <c r="F552" s="3" t="s">
        <v>166</v>
      </c>
      <c r="G552" s="10">
        <v>5</v>
      </c>
      <c r="H552" s="10">
        <v>43279</v>
      </c>
      <c r="I552" s="11">
        <v>216395</v>
      </c>
      <c r="J552" s="8">
        <f t="shared" si="16"/>
        <v>216395</v>
      </c>
      <c r="K552" s="8">
        <f t="shared" si="17"/>
        <v>0</v>
      </c>
      <c r="L552" s="3" t="s">
        <v>1872</v>
      </c>
      <c r="M552" s="3">
        <v>6</v>
      </c>
      <c r="N552" s="3" t="s">
        <v>358</v>
      </c>
      <c r="O552" s="3" t="s">
        <v>58</v>
      </c>
      <c r="P552" s="3"/>
    </row>
    <row r="553" spans="1:16" ht="14" customHeight="1">
      <c r="A553" s="4" t="s">
        <v>1881</v>
      </c>
      <c r="B553" s="4" t="s">
        <v>58</v>
      </c>
      <c r="C553" s="4"/>
      <c r="D553" s="4" t="s">
        <v>1451</v>
      </c>
      <c r="E553" s="4" t="s">
        <v>1882</v>
      </c>
      <c r="F553" s="4" t="s">
        <v>166</v>
      </c>
      <c r="G553" s="12">
        <v>2</v>
      </c>
      <c r="H553" s="12">
        <v>7080</v>
      </c>
      <c r="I553" s="13">
        <v>14160</v>
      </c>
      <c r="J553" s="9">
        <f t="shared" si="16"/>
        <v>14160</v>
      </c>
      <c r="K553" s="9">
        <f t="shared" si="17"/>
        <v>0</v>
      </c>
      <c r="L553" s="4" t="s">
        <v>1872</v>
      </c>
      <c r="M553" s="4">
        <v>6</v>
      </c>
      <c r="N553" s="4" t="s">
        <v>358</v>
      </c>
      <c r="O553" s="4" t="s">
        <v>58</v>
      </c>
      <c r="P553" s="4"/>
    </row>
    <row r="554" spans="1:16" ht="14" customHeight="1">
      <c r="A554" s="3" t="s">
        <v>1883</v>
      </c>
      <c r="B554" s="3" t="s">
        <v>58</v>
      </c>
      <c r="C554" s="3"/>
      <c r="D554" s="3" t="s">
        <v>1454</v>
      </c>
      <c r="E554" s="3" t="s">
        <v>1884</v>
      </c>
      <c r="F554" s="3" t="s">
        <v>166</v>
      </c>
      <c r="G554" s="10">
        <v>1</v>
      </c>
      <c r="H554" s="10">
        <v>12690</v>
      </c>
      <c r="I554" s="11">
        <v>12690</v>
      </c>
      <c r="J554" s="8">
        <f t="shared" si="16"/>
        <v>12690</v>
      </c>
      <c r="K554" s="8">
        <f t="shared" si="17"/>
        <v>0</v>
      </c>
      <c r="L554" s="3" t="s">
        <v>1872</v>
      </c>
      <c r="M554" s="3">
        <v>6</v>
      </c>
      <c r="N554" s="3" t="s">
        <v>358</v>
      </c>
      <c r="O554" s="3" t="s">
        <v>58</v>
      </c>
      <c r="P554" s="3"/>
    </row>
    <row r="555" spans="1:16" ht="14" customHeight="1">
      <c r="A555" s="4" t="s">
        <v>1885</v>
      </c>
      <c r="B555" s="4" t="s">
        <v>58</v>
      </c>
      <c r="C555" s="4"/>
      <c r="D555" s="4" t="s">
        <v>1457</v>
      </c>
      <c r="E555" s="4" t="s">
        <v>1886</v>
      </c>
      <c r="F555" s="4" t="s">
        <v>166</v>
      </c>
      <c r="G555" s="12">
        <v>6</v>
      </c>
      <c r="H555" s="12">
        <v>23853</v>
      </c>
      <c r="I555" s="13">
        <v>143118</v>
      </c>
      <c r="J555" s="9">
        <f t="shared" si="16"/>
        <v>143118</v>
      </c>
      <c r="K555" s="9">
        <f t="shared" si="17"/>
        <v>0</v>
      </c>
      <c r="L555" s="4" t="s">
        <v>1872</v>
      </c>
      <c r="M555" s="4">
        <v>6</v>
      </c>
      <c r="N555" s="4" t="s">
        <v>358</v>
      </c>
      <c r="O555" s="4" t="s">
        <v>58</v>
      </c>
      <c r="P555" s="4"/>
    </row>
    <row r="556" spans="1:16" ht="14" customHeight="1">
      <c r="A556" s="3" t="s">
        <v>1887</v>
      </c>
      <c r="B556" s="3" t="s">
        <v>58</v>
      </c>
      <c r="C556" s="3"/>
      <c r="D556" s="3" t="s">
        <v>1460</v>
      </c>
      <c r="E556" s="3" t="s">
        <v>1888</v>
      </c>
      <c r="F556" s="3" t="s">
        <v>166</v>
      </c>
      <c r="G556" s="10">
        <v>1</v>
      </c>
      <c r="H556" s="10">
        <v>40107</v>
      </c>
      <c r="I556" s="11">
        <v>40107</v>
      </c>
      <c r="J556" s="8">
        <f t="shared" si="16"/>
        <v>40107</v>
      </c>
      <c r="K556" s="8">
        <f t="shared" si="17"/>
        <v>0</v>
      </c>
      <c r="L556" s="3" t="s">
        <v>1872</v>
      </c>
      <c r="M556" s="3">
        <v>6</v>
      </c>
      <c r="N556" s="3" t="s">
        <v>358</v>
      </c>
      <c r="O556" s="3" t="s">
        <v>58</v>
      </c>
      <c r="P556" s="3"/>
    </row>
    <row r="557" spans="1:16" ht="14" customHeight="1">
      <c r="A557" s="4" t="s">
        <v>1889</v>
      </c>
      <c r="B557" s="4" t="s">
        <v>58</v>
      </c>
      <c r="C557" s="4"/>
      <c r="D557" s="4" t="s">
        <v>1463</v>
      </c>
      <c r="E557" s="4" t="s">
        <v>1890</v>
      </c>
      <c r="F557" s="4" t="s">
        <v>166</v>
      </c>
      <c r="G557" s="12">
        <v>1</v>
      </c>
      <c r="H557" s="12">
        <v>159502</v>
      </c>
      <c r="I557" s="13">
        <v>159502</v>
      </c>
      <c r="J557" s="9">
        <f t="shared" si="16"/>
        <v>159502</v>
      </c>
      <c r="K557" s="9">
        <f t="shared" si="17"/>
        <v>0</v>
      </c>
      <c r="L557" s="4" t="s">
        <v>1872</v>
      </c>
      <c r="M557" s="4">
        <v>6</v>
      </c>
      <c r="N557" s="4" t="s">
        <v>358</v>
      </c>
      <c r="O557" s="4" t="s">
        <v>58</v>
      </c>
      <c r="P557" s="4"/>
    </row>
    <row r="558" spans="1:16" ht="14" customHeight="1">
      <c r="A558" s="3" t="s">
        <v>1891</v>
      </c>
      <c r="B558" s="3" t="s">
        <v>58</v>
      </c>
      <c r="C558" s="3"/>
      <c r="D558" s="3" t="s">
        <v>1466</v>
      </c>
      <c r="E558" s="3" t="s">
        <v>1892</v>
      </c>
      <c r="F558" s="3" t="s">
        <v>166</v>
      </c>
      <c r="G558" s="10">
        <v>2</v>
      </c>
      <c r="H558" s="10">
        <v>404147</v>
      </c>
      <c r="I558" s="11">
        <v>808294</v>
      </c>
      <c r="J558" s="8">
        <f t="shared" si="16"/>
        <v>808294</v>
      </c>
      <c r="K558" s="8">
        <f t="shared" si="17"/>
        <v>0</v>
      </c>
      <c r="L558" s="3" t="s">
        <v>1872</v>
      </c>
      <c r="M558" s="3">
        <v>6</v>
      </c>
      <c r="N558" s="3" t="s">
        <v>358</v>
      </c>
      <c r="O558" s="3" t="s">
        <v>58</v>
      </c>
      <c r="P558" s="3"/>
    </row>
    <row r="559" spans="1:16" ht="14" customHeight="1">
      <c r="A559" s="4" t="s">
        <v>1893</v>
      </c>
      <c r="B559" s="4" t="s">
        <v>58</v>
      </c>
      <c r="C559" s="4"/>
      <c r="D559" s="4" t="s">
        <v>1469</v>
      </c>
      <c r="E559" s="4" t="s">
        <v>1894</v>
      </c>
      <c r="F559" s="4" t="s">
        <v>166</v>
      </c>
      <c r="G559" s="12">
        <v>2</v>
      </c>
      <c r="H559" s="12">
        <v>143792</v>
      </c>
      <c r="I559" s="13">
        <v>287584</v>
      </c>
      <c r="J559" s="9">
        <f t="shared" si="16"/>
        <v>287584</v>
      </c>
      <c r="K559" s="9">
        <f t="shared" si="17"/>
        <v>0</v>
      </c>
      <c r="L559" s="4" t="s">
        <v>1872</v>
      </c>
      <c r="M559" s="4">
        <v>6</v>
      </c>
      <c r="N559" s="4" t="s">
        <v>358</v>
      </c>
      <c r="O559" s="4" t="s">
        <v>58</v>
      </c>
      <c r="P559" s="4"/>
    </row>
    <row r="560" spans="1:16" ht="14" customHeight="1">
      <c r="A560" s="3" t="s">
        <v>1895</v>
      </c>
      <c r="B560" s="3" t="s">
        <v>58</v>
      </c>
      <c r="C560" s="3"/>
      <c r="D560" s="3" t="s">
        <v>1472</v>
      </c>
      <c r="E560" s="3" t="s">
        <v>1896</v>
      </c>
      <c r="F560" s="3" t="s">
        <v>166</v>
      </c>
      <c r="G560" s="10">
        <v>1</v>
      </c>
      <c r="H560" s="10">
        <v>100764</v>
      </c>
      <c r="I560" s="11">
        <v>100764</v>
      </c>
      <c r="J560" s="8">
        <f t="shared" si="16"/>
        <v>100764</v>
      </c>
      <c r="K560" s="8">
        <f t="shared" si="17"/>
        <v>0</v>
      </c>
      <c r="L560" s="3" t="s">
        <v>1872</v>
      </c>
      <c r="M560" s="3">
        <v>6</v>
      </c>
      <c r="N560" s="3" t="s">
        <v>358</v>
      </c>
      <c r="O560" s="3" t="s">
        <v>58</v>
      </c>
      <c r="P560" s="3"/>
    </row>
    <row r="561" spans="1:16" ht="14" customHeight="1">
      <c r="A561" s="4" t="s">
        <v>1897</v>
      </c>
      <c r="B561" s="4" t="s">
        <v>58</v>
      </c>
      <c r="C561" s="4"/>
      <c r="D561" s="4" t="s">
        <v>1475</v>
      </c>
      <c r="E561" s="4" t="s">
        <v>1898</v>
      </c>
      <c r="F561" s="4" t="s">
        <v>166</v>
      </c>
      <c r="G561" s="12">
        <v>1</v>
      </c>
      <c r="H561" s="12">
        <v>86952</v>
      </c>
      <c r="I561" s="13">
        <v>86952</v>
      </c>
      <c r="J561" s="9">
        <f t="shared" si="16"/>
        <v>86952</v>
      </c>
      <c r="K561" s="9">
        <f t="shared" si="17"/>
        <v>0</v>
      </c>
      <c r="L561" s="4" t="s">
        <v>1872</v>
      </c>
      <c r="M561" s="4">
        <v>6</v>
      </c>
      <c r="N561" s="4" t="s">
        <v>358</v>
      </c>
      <c r="O561" s="4" t="s">
        <v>58</v>
      </c>
      <c r="P561" s="4"/>
    </row>
    <row r="562" spans="1:16" ht="14" customHeight="1">
      <c r="A562" s="3" t="s">
        <v>1899</v>
      </c>
      <c r="B562" s="3" t="s">
        <v>58</v>
      </c>
      <c r="C562" s="3"/>
      <c r="D562" s="3" t="s">
        <v>1478</v>
      </c>
      <c r="E562" s="3" t="s">
        <v>1900</v>
      </c>
      <c r="F562" s="3" t="s">
        <v>166</v>
      </c>
      <c r="G562" s="10">
        <v>1</v>
      </c>
      <c r="H562" s="10">
        <v>111132</v>
      </c>
      <c r="I562" s="11">
        <v>111132</v>
      </c>
      <c r="J562" s="8">
        <f t="shared" si="16"/>
        <v>111132</v>
      </c>
      <c r="K562" s="8">
        <f t="shared" si="17"/>
        <v>0</v>
      </c>
      <c r="L562" s="3" t="s">
        <v>1872</v>
      </c>
      <c r="M562" s="3">
        <v>6</v>
      </c>
      <c r="N562" s="3" t="s">
        <v>358</v>
      </c>
      <c r="O562" s="3" t="s">
        <v>58</v>
      </c>
      <c r="P562" s="3"/>
    </row>
    <row r="563" spans="1:16" ht="14" customHeight="1">
      <c r="A563" s="4" t="s">
        <v>1901</v>
      </c>
      <c r="B563" s="4" t="s">
        <v>58</v>
      </c>
      <c r="C563" s="4"/>
      <c r="D563" s="4" t="s">
        <v>1481</v>
      </c>
      <c r="E563" s="4" t="s">
        <v>1902</v>
      </c>
      <c r="F563" s="4" t="s">
        <v>166</v>
      </c>
      <c r="G563" s="12">
        <v>1</v>
      </c>
      <c r="H563" s="12">
        <v>193587</v>
      </c>
      <c r="I563" s="13">
        <v>193587</v>
      </c>
      <c r="J563" s="9">
        <f t="shared" si="16"/>
        <v>193587</v>
      </c>
      <c r="K563" s="9">
        <f t="shared" si="17"/>
        <v>0</v>
      </c>
      <c r="L563" s="4" t="s">
        <v>1872</v>
      </c>
      <c r="M563" s="4">
        <v>6</v>
      </c>
      <c r="N563" s="4" t="s">
        <v>358</v>
      </c>
      <c r="O563" s="4" t="s">
        <v>58</v>
      </c>
      <c r="P563" s="4"/>
    </row>
    <row r="564" spans="1:16" ht="14" customHeight="1">
      <c r="A564" s="3" t="s">
        <v>1903</v>
      </c>
      <c r="B564" s="3" t="s">
        <v>58</v>
      </c>
      <c r="C564" s="3"/>
      <c r="D564" s="3" t="s">
        <v>1484</v>
      </c>
      <c r="E564" s="3" t="s">
        <v>1904</v>
      </c>
      <c r="F564" s="3" t="s">
        <v>166</v>
      </c>
      <c r="G564" s="10">
        <v>6</v>
      </c>
      <c r="H564" s="10">
        <v>11880</v>
      </c>
      <c r="I564" s="11">
        <v>71280</v>
      </c>
      <c r="J564" s="8">
        <f t="shared" si="16"/>
        <v>71280</v>
      </c>
      <c r="K564" s="8">
        <f t="shared" si="17"/>
        <v>0</v>
      </c>
      <c r="L564" s="3" t="s">
        <v>1872</v>
      </c>
      <c r="M564" s="3">
        <v>7</v>
      </c>
      <c r="N564" s="3" t="s">
        <v>358</v>
      </c>
      <c r="O564" s="3" t="s">
        <v>58</v>
      </c>
      <c r="P564" s="3"/>
    </row>
    <row r="565" spans="1:16" ht="14" customHeight="1">
      <c r="A565" s="4" t="s">
        <v>1905</v>
      </c>
      <c r="B565" s="4" t="s">
        <v>58</v>
      </c>
      <c r="C565" s="4"/>
      <c r="D565" s="4" t="s">
        <v>1487</v>
      </c>
      <c r="E565" s="4" t="s">
        <v>1906</v>
      </c>
      <c r="F565" s="4" t="s">
        <v>166</v>
      </c>
      <c r="G565" s="12">
        <v>2</v>
      </c>
      <c r="H565" s="12">
        <v>43463</v>
      </c>
      <c r="I565" s="13">
        <v>86926</v>
      </c>
      <c r="J565" s="9">
        <f t="shared" si="16"/>
        <v>86926</v>
      </c>
      <c r="K565" s="9">
        <f t="shared" si="17"/>
        <v>0</v>
      </c>
      <c r="L565" s="4" t="s">
        <v>1872</v>
      </c>
      <c r="M565" s="4">
        <v>7</v>
      </c>
      <c r="N565" s="4" t="s">
        <v>358</v>
      </c>
      <c r="O565" s="4" t="s">
        <v>58</v>
      </c>
      <c r="P565" s="4"/>
    </row>
    <row r="566" spans="1:16" ht="14" customHeight="1">
      <c r="A566" s="3" t="s">
        <v>1907</v>
      </c>
      <c r="B566" s="3" t="s">
        <v>58</v>
      </c>
      <c r="C566" s="3"/>
      <c r="D566" s="3" t="s">
        <v>1490</v>
      </c>
      <c r="E566" s="3" t="s">
        <v>1908</v>
      </c>
      <c r="F566" s="3" t="s">
        <v>166</v>
      </c>
      <c r="G566" s="10">
        <v>5</v>
      </c>
      <c r="H566" s="10">
        <v>43463</v>
      </c>
      <c r="I566" s="11">
        <v>217315</v>
      </c>
      <c r="J566" s="8">
        <f t="shared" si="16"/>
        <v>217315</v>
      </c>
      <c r="K566" s="8">
        <f t="shared" si="17"/>
        <v>0</v>
      </c>
      <c r="L566" s="3" t="s">
        <v>1872</v>
      </c>
      <c r="M566" s="3">
        <v>7</v>
      </c>
      <c r="N566" s="3" t="s">
        <v>358</v>
      </c>
      <c r="O566" s="3" t="s">
        <v>58</v>
      </c>
      <c r="P566" s="3"/>
    </row>
    <row r="567" spans="1:16" ht="14" customHeight="1">
      <c r="A567" s="4" t="s">
        <v>1909</v>
      </c>
      <c r="B567" s="4" t="s">
        <v>58</v>
      </c>
      <c r="C567" s="4" t="s">
        <v>1910</v>
      </c>
      <c r="D567" s="4" t="s">
        <v>1123</v>
      </c>
      <c r="E567" s="4" t="s">
        <v>1911</v>
      </c>
      <c r="F567" s="4" t="s">
        <v>964</v>
      </c>
      <c r="G567" s="12">
        <v>3952.06</v>
      </c>
      <c r="H567" s="12">
        <v>150</v>
      </c>
      <c r="I567" s="13">
        <v>592809</v>
      </c>
      <c r="J567" s="9">
        <f t="shared" si="16"/>
        <v>592809</v>
      </c>
      <c r="K567" s="9">
        <f t="shared" si="17"/>
        <v>0</v>
      </c>
      <c r="L567" s="4"/>
      <c r="M567" s="4">
        <v>7</v>
      </c>
      <c r="N567" s="4" t="s">
        <v>358</v>
      </c>
      <c r="O567" s="4" t="s">
        <v>58</v>
      </c>
      <c r="P567" s="4"/>
    </row>
    <row r="568" spans="1:16" ht="14" customHeight="1">
      <c r="A568" s="3" t="s">
        <v>1912</v>
      </c>
      <c r="B568" s="3" t="s">
        <v>58</v>
      </c>
      <c r="C568" s="3" t="s">
        <v>1913</v>
      </c>
      <c r="D568" s="3" t="s">
        <v>1123</v>
      </c>
      <c r="E568" s="3" t="s">
        <v>1914</v>
      </c>
      <c r="F568" s="3" t="s">
        <v>162</v>
      </c>
      <c r="G568" s="10">
        <v>107.5</v>
      </c>
      <c r="H568" s="10">
        <v>250</v>
      </c>
      <c r="I568" s="11">
        <v>26875</v>
      </c>
      <c r="J568" s="8">
        <f t="shared" si="16"/>
        <v>26875</v>
      </c>
      <c r="K568" s="8">
        <f t="shared" si="17"/>
        <v>0</v>
      </c>
      <c r="L568" s="3"/>
      <c r="M568" s="3">
        <v>7</v>
      </c>
      <c r="N568" s="3" t="s">
        <v>358</v>
      </c>
      <c r="O568" s="3" t="s">
        <v>58</v>
      </c>
      <c r="P568" s="3"/>
    </row>
    <row r="569" spans="1:16" ht="14" customHeight="1">
      <c r="A569" s="4" t="s">
        <v>1915</v>
      </c>
      <c r="B569" s="4" t="s">
        <v>58</v>
      </c>
      <c r="C569" s="4" t="s">
        <v>1913</v>
      </c>
      <c r="D569" s="4" t="s">
        <v>1126</v>
      </c>
      <c r="E569" s="4" t="s">
        <v>1916</v>
      </c>
      <c r="F569" s="4" t="s">
        <v>162</v>
      </c>
      <c r="G569" s="12">
        <v>178.8</v>
      </c>
      <c r="H569" s="12">
        <v>250</v>
      </c>
      <c r="I569" s="13">
        <v>44700</v>
      </c>
      <c r="J569" s="9">
        <f t="shared" si="16"/>
        <v>44700</v>
      </c>
      <c r="K569" s="9">
        <f t="shared" si="17"/>
        <v>0</v>
      </c>
      <c r="L569" s="4"/>
      <c r="M569" s="4">
        <v>7</v>
      </c>
      <c r="N569" s="4" t="s">
        <v>358</v>
      </c>
      <c r="O569" s="4" t="s">
        <v>58</v>
      </c>
      <c r="P569" s="4"/>
    </row>
    <row r="570" spans="1:16" ht="14" customHeight="1">
      <c r="A570" s="3" t="s">
        <v>1917</v>
      </c>
      <c r="B570" s="3" t="s">
        <v>58</v>
      </c>
      <c r="C570" s="3" t="s">
        <v>1913</v>
      </c>
      <c r="D570" s="3" t="s">
        <v>1129</v>
      </c>
      <c r="E570" s="3" t="s">
        <v>1918</v>
      </c>
      <c r="F570" s="3" t="s">
        <v>162</v>
      </c>
      <c r="G570" s="10">
        <v>239.2</v>
      </c>
      <c r="H570" s="10">
        <v>250</v>
      </c>
      <c r="I570" s="11">
        <v>59800</v>
      </c>
      <c r="J570" s="8">
        <f t="shared" si="16"/>
        <v>59800</v>
      </c>
      <c r="K570" s="8">
        <f t="shared" si="17"/>
        <v>0</v>
      </c>
      <c r="L570" s="3"/>
      <c r="M570" s="3">
        <v>7</v>
      </c>
      <c r="N570" s="3" t="s">
        <v>358</v>
      </c>
      <c r="O570" s="3" t="s">
        <v>58</v>
      </c>
      <c r="P570" s="3"/>
    </row>
    <row r="571" spans="1:16" ht="14" customHeight="1">
      <c r="A571" s="4" t="s">
        <v>1919</v>
      </c>
      <c r="B571" s="4" t="s">
        <v>58</v>
      </c>
      <c r="C571" s="4" t="s">
        <v>1913</v>
      </c>
      <c r="D571" s="4" t="s">
        <v>1132</v>
      </c>
      <c r="E571" s="4" t="s">
        <v>1920</v>
      </c>
      <c r="F571" s="4" t="s">
        <v>162</v>
      </c>
      <c r="G571" s="12">
        <v>115</v>
      </c>
      <c r="H571" s="12">
        <v>250</v>
      </c>
      <c r="I571" s="13">
        <v>28750</v>
      </c>
      <c r="J571" s="9">
        <f t="shared" si="16"/>
        <v>28750</v>
      </c>
      <c r="K571" s="9">
        <f t="shared" si="17"/>
        <v>0</v>
      </c>
      <c r="L571" s="4"/>
      <c r="M571" s="4">
        <v>7</v>
      </c>
      <c r="N571" s="4" t="s">
        <v>358</v>
      </c>
      <c r="O571" s="4" t="s">
        <v>58</v>
      </c>
      <c r="P571" s="4"/>
    </row>
    <row r="572" spans="1:16" ht="14" customHeight="1">
      <c r="A572" s="3" t="s">
        <v>1921</v>
      </c>
      <c r="B572" s="3" t="s">
        <v>58</v>
      </c>
      <c r="C572" s="3" t="s">
        <v>1913</v>
      </c>
      <c r="D572" s="3" t="s">
        <v>1135</v>
      </c>
      <c r="E572" s="3" t="s">
        <v>1922</v>
      </c>
      <c r="F572" s="3" t="s">
        <v>162</v>
      </c>
      <c r="G572" s="10">
        <v>2580.8000000000002</v>
      </c>
      <c r="H572" s="10">
        <v>250</v>
      </c>
      <c r="I572" s="11">
        <v>645200</v>
      </c>
      <c r="J572" s="8">
        <f t="shared" si="16"/>
        <v>645200</v>
      </c>
      <c r="K572" s="8">
        <f t="shared" si="17"/>
        <v>0</v>
      </c>
      <c r="L572" s="3"/>
      <c r="M572" s="3">
        <v>7</v>
      </c>
      <c r="N572" s="3" t="s">
        <v>358</v>
      </c>
      <c r="O572" s="3" t="s">
        <v>58</v>
      </c>
      <c r="P572" s="3"/>
    </row>
    <row r="573" spans="1:16" ht="14" customHeight="1">
      <c r="A573" s="4" t="s">
        <v>1923</v>
      </c>
      <c r="B573" s="4" t="s">
        <v>58</v>
      </c>
      <c r="C573" s="4" t="s">
        <v>1913</v>
      </c>
      <c r="D573" s="4" t="s">
        <v>1140</v>
      </c>
      <c r="E573" s="4" t="s">
        <v>1924</v>
      </c>
      <c r="F573" s="4" t="s">
        <v>166</v>
      </c>
      <c r="G573" s="12">
        <v>6</v>
      </c>
      <c r="H573" s="12">
        <v>6000</v>
      </c>
      <c r="I573" s="13">
        <v>36000</v>
      </c>
      <c r="J573" s="9">
        <f t="shared" si="16"/>
        <v>36000</v>
      </c>
      <c r="K573" s="9">
        <f t="shared" si="17"/>
        <v>0</v>
      </c>
      <c r="L573" s="4"/>
      <c r="M573" s="4">
        <v>7</v>
      </c>
      <c r="N573" s="4" t="s">
        <v>358</v>
      </c>
      <c r="O573" s="4" t="s">
        <v>58</v>
      </c>
      <c r="P573" s="4"/>
    </row>
    <row r="574" spans="1:16" ht="14" customHeight="1">
      <c r="A574" s="3" t="s">
        <v>1925</v>
      </c>
      <c r="B574" s="3" t="s">
        <v>58</v>
      </c>
      <c r="C574" s="3" t="s">
        <v>1926</v>
      </c>
      <c r="D574" s="3" t="s">
        <v>1123</v>
      </c>
      <c r="E574" s="3" t="s">
        <v>1927</v>
      </c>
      <c r="F574" s="3" t="s">
        <v>162</v>
      </c>
      <c r="G574" s="10">
        <v>178.8</v>
      </c>
      <c r="H574" s="10">
        <v>120</v>
      </c>
      <c r="I574" s="11">
        <v>21456</v>
      </c>
      <c r="J574" s="8">
        <f t="shared" si="16"/>
        <v>21456</v>
      </c>
      <c r="K574" s="8">
        <f t="shared" si="17"/>
        <v>0</v>
      </c>
      <c r="L574" s="3"/>
      <c r="M574" s="3">
        <v>7</v>
      </c>
      <c r="N574" s="3" t="s">
        <v>358</v>
      </c>
      <c r="O574" s="3" t="s">
        <v>58</v>
      </c>
      <c r="P574" s="3"/>
    </row>
    <row r="575" spans="1:16" ht="14" customHeight="1">
      <c r="A575" s="4" t="s">
        <v>1928</v>
      </c>
      <c r="B575" s="4" t="s">
        <v>58</v>
      </c>
      <c r="C575" s="4" t="s">
        <v>1926</v>
      </c>
      <c r="D575" s="4" t="s">
        <v>1126</v>
      </c>
      <c r="E575" s="4" t="s">
        <v>1929</v>
      </c>
      <c r="F575" s="4" t="s">
        <v>162</v>
      </c>
      <c r="G575" s="12">
        <v>239.2</v>
      </c>
      <c r="H575" s="12">
        <v>70</v>
      </c>
      <c r="I575" s="13">
        <v>16744</v>
      </c>
      <c r="J575" s="9">
        <f t="shared" si="16"/>
        <v>16744</v>
      </c>
      <c r="K575" s="9">
        <f t="shared" si="17"/>
        <v>0</v>
      </c>
      <c r="L575" s="4"/>
      <c r="M575" s="4">
        <v>7</v>
      </c>
      <c r="N575" s="4" t="s">
        <v>358</v>
      </c>
      <c r="O575" s="4" t="s">
        <v>58</v>
      </c>
      <c r="P575" s="4"/>
    </row>
    <row r="576" spans="1:16" ht="14" customHeight="1">
      <c r="A576" s="3" t="s">
        <v>1930</v>
      </c>
      <c r="B576" s="3" t="s">
        <v>58</v>
      </c>
      <c r="C576" s="3" t="s">
        <v>1926</v>
      </c>
      <c r="D576" s="3" t="s">
        <v>1129</v>
      </c>
      <c r="E576" s="3" t="s">
        <v>1931</v>
      </c>
      <c r="F576" s="3" t="s">
        <v>162</v>
      </c>
      <c r="G576" s="10">
        <v>115</v>
      </c>
      <c r="H576" s="10">
        <v>70</v>
      </c>
      <c r="I576" s="11">
        <v>8050</v>
      </c>
      <c r="J576" s="8">
        <f t="shared" si="16"/>
        <v>8050</v>
      </c>
      <c r="K576" s="8">
        <f t="shared" si="17"/>
        <v>0</v>
      </c>
      <c r="L576" s="3"/>
      <c r="M576" s="3">
        <v>7</v>
      </c>
      <c r="N576" s="3" t="s">
        <v>358</v>
      </c>
      <c r="O576" s="3" t="s">
        <v>58</v>
      </c>
      <c r="P576" s="3"/>
    </row>
    <row r="577" spans="1:16" ht="14" customHeight="1">
      <c r="A577" s="4" t="s">
        <v>1932</v>
      </c>
      <c r="B577" s="4" t="s">
        <v>58</v>
      </c>
      <c r="C577" s="4" t="s">
        <v>1926</v>
      </c>
      <c r="D577" s="4" t="s">
        <v>1132</v>
      </c>
      <c r="E577" s="4" t="s">
        <v>1933</v>
      </c>
      <c r="F577" s="4" t="s">
        <v>162</v>
      </c>
      <c r="G577" s="12">
        <v>2580.8000000000002</v>
      </c>
      <c r="H577" s="12">
        <v>70</v>
      </c>
      <c r="I577" s="13">
        <v>180656</v>
      </c>
      <c r="J577" s="9">
        <f t="shared" si="16"/>
        <v>180656</v>
      </c>
      <c r="K577" s="9">
        <f t="shared" si="17"/>
        <v>0</v>
      </c>
      <c r="L577" s="4"/>
      <c r="M577" s="4">
        <v>7</v>
      </c>
      <c r="N577" s="4" t="s">
        <v>358</v>
      </c>
      <c r="O577" s="4" t="s">
        <v>58</v>
      </c>
      <c r="P577" s="4"/>
    </row>
    <row r="578" spans="1:16" ht="14" customHeight="1">
      <c r="A578" s="3" t="s">
        <v>1934</v>
      </c>
      <c r="B578" s="3" t="s">
        <v>1935</v>
      </c>
      <c r="C578" s="3"/>
      <c r="D578" s="3" t="s">
        <v>1123</v>
      </c>
      <c r="E578" s="3" t="s">
        <v>1936</v>
      </c>
      <c r="F578" s="3" t="s">
        <v>151</v>
      </c>
      <c r="G578" s="10">
        <v>1</v>
      </c>
      <c r="H578" s="10">
        <v>938000</v>
      </c>
      <c r="I578" s="11">
        <v>938000</v>
      </c>
      <c r="J578" s="8">
        <f t="shared" si="16"/>
        <v>938000</v>
      </c>
      <c r="K578" s="8">
        <f t="shared" si="17"/>
        <v>0</v>
      </c>
      <c r="L578" s="3" t="s">
        <v>1937</v>
      </c>
      <c r="M578" s="3">
        <v>7</v>
      </c>
      <c r="N578" s="3" t="s">
        <v>358</v>
      </c>
      <c r="O578" s="3" t="s">
        <v>60</v>
      </c>
      <c r="P578" s="3"/>
    </row>
    <row r="579" spans="1:16" ht="14" customHeight="1">
      <c r="A579" s="4" t="s">
        <v>1938</v>
      </c>
      <c r="B579" s="4" t="s">
        <v>1935</v>
      </c>
      <c r="C579" s="4"/>
      <c r="D579" s="4" t="s">
        <v>1126</v>
      </c>
      <c r="E579" s="4" t="s">
        <v>1939</v>
      </c>
      <c r="F579" s="4" t="s">
        <v>151</v>
      </c>
      <c r="G579" s="12">
        <v>1</v>
      </c>
      <c r="H579" s="12">
        <v>2580000</v>
      </c>
      <c r="I579" s="13">
        <v>2580000</v>
      </c>
      <c r="J579" s="9">
        <f t="shared" si="16"/>
        <v>2580000</v>
      </c>
      <c r="K579" s="9">
        <f t="shared" si="17"/>
        <v>0</v>
      </c>
      <c r="L579" s="4" t="s">
        <v>1937</v>
      </c>
      <c r="M579" s="4">
        <v>7</v>
      </c>
      <c r="N579" s="4" t="s">
        <v>358</v>
      </c>
      <c r="O579" s="4" t="s">
        <v>60</v>
      </c>
      <c r="P579" s="4"/>
    </row>
    <row r="580" spans="1:16" ht="14" customHeight="1">
      <c r="A580" s="3" t="s">
        <v>1940</v>
      </c>
      <c r="B580" s="3" t="s">
        <v>1935</v>
      </c>
      <c r="C580" s="3"/>
      <c r="D580" s="3" t="s">
        <v>1129</v>
      </c>
      <c r="E580" s="3" t="s">
        <v>1941</v>
      </c>
      <c r="F580" s="3" t="s">
        <v>151</v>
      </c>
      <c r="G580" s="10">
        <v>2</v>
      </c>
      <c r="H580" s="10">
        <v>150000</v>
      </c>
      <c r="I580" s="11">
        <v>300000</v>
      </c>
      <c r="J580" s="8">
        <f t="shared" si="16"/>
        <v>300000</v>
      </c>
      <c r="K580" s="8">
        <f t="shared" si="17"/>
        <v>0</v>
      </c>
      <c r="L580" s="3"/>
      <c r="M580" s="3">
        <v>7</v>
      </c>
      <c r="N580" s="3" t="s">
        <v>358</v>
      </c>
      <c r="O580" s="3" t="s">
        <v>60</v>
      </c>
      <c r="P580" s="3"/>
    </row>
    <row r="581" spans="1:16" ht="14" customHeight="1">
      <c r="A581" s="4" t="s">
        <v>1942</v>
      </c>
      <c r="B581" s="4" t="s">
        <v>1935</v>
      </c>
      <c r="C581" s="4"/>
      <c r="D581" s="4" t="s">
        <v>1132</v>
      </c>
      <c r="E581" s="4" t="s">
        <v>1943</v>
      </c>
      <c r="F581" s="4" t="s">
        <v>151</v>
      </c>
      <c r="G581" s="12">
        <v>7</v>
      </c>
      <c r="H581" s="12">
        <v>125000</v>
      </c>
      <c r="I581" s="13">
        <v>875000</v>
      </c>
      <c r="J581" s="9">
        <f t="shared" si="16"/>
        <v>875000</v>
      </c>
      <c r="K581" s="9">
        <f t="shared" si="17"/>
        <v>0</v>
      </c>
      <c r="L581" s="4"/>
      <c r="M581" s="4">
        <v>7</v>
      </c>
      <c r="N581" s="4" t="s">
        <v>358</v>
      </c>
      <c r="O581" s="4" t="s">
        <v>60</v>
      </c>
      <c r="P581" s="4"/>
    </row>
    <row r="582" spans="1:16" ht="14" customHeight="1">
      <c r="A582" s="3" t="s">
        <v>1944</v>
      </c>
      <c r="B582" s="3" t="s">
        <v>1499</v>
      </c>
      <c r="C582" s="3"/>
      <c r="D582" s="3" t="s">
        <v>1123</v>
      </c>
      <c r="E582" s="3" t="s">
        <v>1945</v>
      </c>
      <c r="F582" s="3" t="s">
        <v>107</v>
      </c>
      <c r="G582" s="10">
        <v>71.19</v>
      </c>
      <c r="H582" s="10">
        <v>4000</v>
      </c>
      <c r="I582" s="11">
        <v>284760</v>
      </c>
      <c r="J582" s="8">
        <f t="shared" ref="J582:J611" si="18">IF(OR(G582="",H582=""),"",ROUND(G582*H582,0))</f>
        <v>284760</v>
      </c>
      <c r="K582" s="8">
        <f t="shared" ref="K582:K611" si="19">IF(OR(I582="",J582=""),"",I582-J582)</f>
        <v>0</v>
      </c>
      <c r="L582" s="3"/>
      <c r="M582" s="3">
        <v>7</v>
      </c>
      <c r="N582" s="3" t="s">
        <v>358</v>
      </c>
      <c r="O582" s="3" t="s">
        <v>60</v>
      </c>
      <c r="P582" s="3"/>
    </row>
    <row r="583" spans="1:16" ht="14" customHeight="1">
      <c r="A583" s="4" t="s">
        <v>1946</v>
      </c>
      <c r="B583" s="4" t="s">
        <v>1499</v>
      </c>
      <c r="C583" s="4"/>
      <c r="D583" s="4" t="s">
        <v>1126</v>
      </c>
      <c r="E583" s="4" t="s">
        <v>157</v>
      </c>
      <c r="F583" s="4" t="s">
        <v>434</v>
      </c>
      <c r="G583" s="12">
        <v>6</v>
      </c>
      <c r="H583" s="12">
        <v>1500</v>
      </c>
      <c r="I583" s="13">
        <v>9000</v>
      </c>
      <c r="J583" s="9">
        <f t="shared" si="18"/>
        <v>9000</v>
      </c>
      <c r="K583" s="9">
        <f t="shared" si="19"/>
        <v>0</v>
      </c>
      <c r="L583" s="4"/>
      <c r="M583" s="4">
        <v>7</v>
      </c>
      <c r="N583" s="4" t="s">
        <v>358</v>
      </c>
      <c r="O583" s="4" t="s">
        <v>60</v>
      </c>
      <c r="P583" s="4"/>
    </row>
    <row r="584" spans="1:16" ht="14" customHeight="1">
      <c r="A584" s="3" t="s">
        <v>1947</v>
      </c>
      <c r="B584" s="3" t="s">
        <v>1499</v>
      </c>
      <c r="C584" s="3"/>
      <c r="D584" s="3" t="s">
        <v>1129</v>
      </c>
      <c r="E584" s="3" t="s">
        <v>1948</v>
      </c>
      <c r="F584" s="3" t="s">
        <v>421</v>
      </c>
      <c r="G584" s="10">
        <v>4</v>
      </c>
      <c r="H584" s="10">
        <v>1500</v>
      </c>
      <c r="I584" s="11">
        <v>6000</v>
      </c>
      <c r="J584" s="8">
        <f t="shared" si="18"/>
        <v>6000</v>
      </c>
      <c r="K584" s="8">
        <f t="shared" si="19"/>
        <v>0</v>
      </c>
      <c r="L584" s="3"/>
      <c r="M584" s="3">
        <v>7</v>
      </c>
      <c r="N584" s="3" t="s">
        <v>358</v>
      </c>
      <c r="O584" s="3" t="s">
        <v>60</v>
      </c>
      <c r="P584" s="3"/>
    </row>
    <row r="585" spans="1:16" ht="14" customHeight="1">
      <c r="A585" s="4" t="s">
        <v>1949</v>
      </c>
      <c r="B585" s="4" t="s">
        <v>1499</v>
      </c>
      <c r="C585" s="4"/>
      <c r="D585" s="4" t="s">
        <v>1132</v>
      </c>
      <c r="E585" s="4" t="s">
        <v>1950</v>
      </c>
      <c r="F585" s="4" t="s">
        <v>421</v>
      </c>
      <c r="G585" s="12">
        <v>1</v>
      </c>
      <c r="H585" s="12">
        <v>1800</v>
      </c>
      <c r="I585" s="13">
        <v>1800</v>
      </c>
      <c r="J585" s="9">
        <f t="shared" si="18"/>
        <v>1800</v>
      </c>
      <c r="K585" s="9">
        <f t="shared" si="19"/>
        <v>0</v>
      </c>
      <c r="L585" s="4"/>
      <c r="M585" s="4">
        <v>7</v>
      </c>
      <c r="N585" s="4" t="s">
        <v>358</v>
      </c>
      <c r="O585" s="4" t="s">
        <v>60</v>
      </c>
      <c r="P585" s="4"/>
    </row>
    <row r="586" spans="1:16" ht="14" customHeight="1">
      <c r="A586" s="3" t="s">
        <v>1951</v>
      </c>
      <c r="B586" s="3" t="s">
        <v>1499</v>
      </c>
      <c r="C586" s="3"/>
      <c r="D586" s="3" t="s">
        <v>1135</v>
      </c>
      <c r="E586" s="3" t="s">
        <v>1952</v>
      </c>
      <c r="F586" s="3" t="s">
        <v>421</v>
      </c>
      <c r="G586" s="10">
        <v>1</v>
      </c>
      <c r="H586" s="10">
        <v>2000</v>
      </c>
      <c r="I586" s="11">
        <v>2000</v>
      </c>
      <c r="J586" s="8">
        <f t="shared" si="18"/>
        <v>2000</v>
      </c>
      <c r="K586" s="8">
        <f t="shared" si="19"/>
        <v>0</v>
      </c>
      <c r="L586" s="3"/>
      <c r="M586" s="3">
        <v>7</v>
      </c>
      <c r="N586" s="3" t="s">
        <v>358</v>
      </c>
      <c r="O586" s="3" t="s">
        <v>60</v>
      </c>
      <c r="P586" s="3"/>
    </row>
    <row r="587" spans="1:16" ht="14" customHeight="1">
      <c r="A587" s="4" t="s">
        <v>1953</v>
      </c>
      <c r="B587" s="4" t="s">
        <v>1499</v>
      </c>
      <c r="C587" s="4"/>
      <c r="D587" s="4" t="s">
        <v>1140</v>
      </c>
      <c r="E587" s="4" t="s">
        <v>1954</v>
      </c>
      <c r="F587" s="4" t="s">
        <v>421</v>
      </c>
      <c r="G587" s="12">
        <v>2</v>
      </c>
      <c r="H587" s="12">
        <v>2100</v>
      </c>
      <c r="I587" s="13">
        <v>4200</v>
      </c>
      <c r="J587" s="9">
        <f t="shared" si="18"/>
        <v>4200</v>
      </c>
      <c r="K587" s="9">
        <f t="shared" si="19"/>
        <v>0</v>
      </c>
      <c r="L587" s="4"/>
      <c r="M587" s="4">
        <v>7</v>
      </c>
      <c r="N587" s="4" t="s">
        <v>358</v>
      </c>
      <c r="O587" s="4" t="s">
        <v>60</v>
      </c>
      <c r="P587" s="4"/>
    </row>
    <row r="588" spans="1:16" ht="14" customHeight="1">
      <c r="A588" s="3" t="s">
        <v>1955</v>
      </c>
      <c r="B588" s="3" t="s">
        <v>1499</v>
      </c>
      <c r="C588" s="3"/>
      <c r="D588" s="3" t="s">
        <v>1143</v>
      </c>
      <c r="E588" s="3" t="s">
        <v>1956</v>
      </c>
      <c r="F588" s="3" t="s">
        <v>421</v>
      </c>
      <c r="G588" s="10">
        <v>2</v>
      </c>
      <c r="H588" s="10">
        <v>2350</v>
      </c>
      <c r="I588" s="11">
        <v>4700</v>
      </c>
      <c r="J588" s="8">
        <f t="shared" si="18"/>
        <v>4700</v>
      </c>
      <c r="K588" s="8">
        <f t="shared" si="19"/>
        <v>0</v>
      </c>
      <c r="L588" s="3"/>
      <c r="M588" s="3">
        <v>8</v>
      </c>
      <c r="N588" s="3" t="s">
        <v>358</v>
      </c>
      <c r="O588" s="3" t="s">
        <v>60</v>
      </c>
      <c r="P588" s="3"/>
    </row>
    <row r="589" spans="1:16" ht="14" customHeight="1">
      <c r="A589" s="4" t="s">
        <v>1957</v>
      </c>
      <c r="B589" s="4" t="s">
        <v>1499</v>
      </c>
      <c r="C589" s="4"/>
      <c r="D589" s="4" t="s">
        <v>1146</v>
      </c>
      <c r="E589" s="4" t="s">
        <v>1958</v>
      </c>
      <c r="F589" s="4" t="s">
        <v>421</v>
      </c>
      <c r="G589" s="12">
        <v>1</v>
      </c>
      <c r="H589" s="12">
        <v>2500</v>
      </c>
      <c r="I589" s="13">
        <v>2500</v>
      </c>
      <c r="J589" s="9">
        <f t="shared" si="18"/>
        <v>2500</v>
      </c>
      <c r="K589" s="9">
        <f t="shared" si="19"/>
        <v>0</v>
      </c>
      <c r="L589" s="4"/>
      <c r="M589" s="4">
        <v>8</v>
      </c>
      <c r="N589" s="4" t="s">
        <v>358</v>
      </c>
      <c r="O589" s="4" t="s">
        <v>60</v>
      </c>
      <c r="P589" s="4"/>
    </row>
    <row r="590" spans="1:16" ht="14" customHeight="1">
      <c r="A590" s="3" t="s">
        <v>1959</v>
      </c>
      <c r="B590" s="3" t="s">
        <v>1499</v>
      </c>
      <c r="C590" s="3"/>
      <c r="D590" s="3" t="s">
        <v>1149</v>
      </c>
      <c r="E590" s="3" t="s">
        <v>1960</v>
      </c>
      <c r="F590" s="3" t="s">
        <v>162</v>
      </c>
      <c r="G590" s="10">
        <v>53.99</v>
      </c>
      <c r="H590" s="10">
        <v>4500</v>
      </c>
      <c r="I590" s="11">
        <v>242955</v>
      </c>
      <c r="J590" s="8">
        <f t="shared" si="18"/>
        <v>242955</v>
      </c>
      <c r="K590" s="8">
        <f t="shared" si="19"/>
        <v>0</v>
      </c>
      <c r="L590" s="3"/>
      <c r="M590" s="3">
        <v>8</v>
      </c>
      <c r="N590" s="3" t="s">
        <v>358</v>
      </c>
      <c r="O590" s="3" t="s">
        <v>60</v>
      </c>
      <c r="P590" s="3"/>
    </row>
    <row r="591" spans="1:16" ht="14" customHeight="1">
      <c r="A591" s="4" t="s">
        <v>1961</v>
      </c>
      <c r="B591" s="4" t="s">
        <v>1499</v>
      </c>
      <c r="C591" s="4"/>
      <c r="D591" s="4" t="s">
        <v>1152</v>
      </c>
      <c r="E591" s="4" t="s">
        <v>1962</v>
      </c>
      <c r="F591" s="4" t="s">
        <v>162</v>
      </c>
      <c r="G591" s="12">
        <v>56.03</v>
      </c>
      <c r="H591" s="12">
        <v>4500</v>
      </c>
      <c r="I591" s="13">
        <v>252135</v>
      </c>
      <c r="J591" s="9">
        <f t="shared" si="18"/>
        <v>252135</v>
      </c>
      <c r="K591" s="9">
        <f t="shared" si="19"/>
        <v>0</v>
      </c>
      <c r="L591" s="4"/>
      <c r="M591" s="4">
        <v>8</v>
      </c>
      <c r="N591" s="4" t="s">
        <v>358</v>
      </c>
      <c r="O591" s="4" t="s">
        <v>60</v>
      </c>
      <c r="P591" s="4"/>
    </row>
    <row r="592" spans="1:16" ht="14" customHeight="1">
      <c r="A592" s="3" t="s">
        <v>1963</v>
      </c>
      <c r="B592" s="3" t="s">
        <v>1499</v>
      </c>
      <c r="C592" s="3"/>
      <c r="D592" s="3" t="s">
        <v>1156</v>
      </c>
      <c r="E592" s="3" t="s">
        <v>1964</v>
      </c>
      <c r="F592" s="3" t="s">
        <v>1965</v>
      </c>
      <c r="G592" s="10">
        <v>3</v>
      </c>
      <c r="H592" s="10">
        <v>850</v>
      </c>
      <c r="I592" s="11">
        <v>2550</v>
      </c>
      <c r="J592" s="8">
        <f t="shared" si="18"/>
        <v>2550</v>
      </c>
      <c r="K592" s="8">
        <f t="shared" si="19"/>
        <v>0</v>
      </c>
      <c r="L592" s="3"/>
      <c r="M592" s="3">
        <v>8</v>
      </c>
      <c r="N592" s="3" t="s">
        <v>358</v>
      </c>
      <c r="O592" s="3" t="s">
        <v>60</v>
      </c>
      <c r="P592" s="3"/>
    </row>
    <row r="593" spans="1:16" ht="14" customHeight="1">
      <c r="A593" s="4" t="s">
        <v>1966</v>
      </c>
      <c r="B593" s="4" t="s">
        <v>1499</v>
      </c>
      <c r="C593" s="4"/>
      <c r="D593" s="4" t="s">
        <v>1159</v>
      </c>
      <c r="E593" s="4" t="s">
        <v>1967</v>
      </c>
      <c r="F593" s="4" t="s">
        <v>1965</v>
      </c>
      <c r="G593" s="12">
        <v>3</v>
      </c>
      <c r="H593" s="12">
        <v>850</v>
      </c>
      <c r="I593" s="13">
        <v>2550</v>
      </c>
      <c r="J593" s="9">
        <f t="shared" si="18"/>
        <v>2550</v>
      </c>
      <c r="K593" s="9">
        <f t="shared" si="19"/>
        <v>0</v>
      </c>
      <c r="L593" s="4"/>
      <c r="M593" s="4">
        <v>8</v>
      </c>
      <c r="N593" s="4" t="s">
        <v>358</v>
      </c>
      <c r="O593" s="4" t="s">
        <v>60</v>
      </c>
      <c r="P593" s="4"/>
    </row>
    <row r="594" spans="1:16" ht="14" customHeight="1">
      <c r="A594" s="3" t="s">
        <v>1968</v>
      </c>
      <c r="B594" s="3" t="s">
        <v>1499</v>
      </c>
      <c r="C594" s="3"/>
      <c r="D594" s="3" t="s">
        <v>1162</v>
      </c>
      <c r="E594" s="3" t="s">
        <v>1969</v>
      </c>
      <c r="F594" s="3" t="s">
        <v>1970</v>
      </c>
      <c r="G594" s="10">
        <v>8</v>
      </c>
      <c r="H594" s="10">
        <v>1200</v>
      </c>
      <c r="I594" s="11">
        <v>9600</v>
      </c>
      <c r="J594" s="8">
        <f t="shared" si="18"/>
        <v>9600</v>
      </c>
      <c r="K594" s="8">
        <f t="shared" si="19"/>
        <v>0</v>
      </c>
      <c r="L594" s="3"/>
      <c r="M594" s="3">
        <v>8</v>
      </c>
      <c r="N594" s="3" t="s">
        <v>358</v>
      </c>
      <c r="O594" s="3" t="s">
        <v>60</v>
      </c>
      <c r="P594" s="3"/>
    </row>
    <row r="595" spans="1:16" ht="14" customHeight="1">
      <c r="A595" s="4" t="s">
        <v>1971</v>
      </c>
      <c r="B595" s="4" t="s">
        <v>1499</v>
      </c>
      <c r="C595" s="4"/>
      <c r="D595" s="4" t="s">
        <v>1165</v>
      </c>
      <c r="E595" s="4" t="s">
        <v>1972</v>
      </c>
      <c r="F595" s="4" t="s">
        <v>1970</v>
      </c>
      <c r="G595" s="12">
        <v>1</v>
      </c>
      <c r="H595" s="12">
        <v>3500</v>
      </c>
      <c r="I595" s="13">
        <v>3500</v>
      </c>
      <c r="J595" s="9">
        <f t="shared" si="18"/>
        <v>3500</v>
      </c>
      <c r="K595" s="9">
        <f t="shared" si="19"/>
        <v>0</v>
      </c>
      <c r="L595" s="4"/>
      <c r="M595" s="4">
        <v>8</v>
      </c>
      <c r="N595" s="4" t="s">
        <v>358</v>
      </c>
      <c r="O595" s="4" t="s">
        <v>60</v>
      </c>
      <c r="P595" s="4"/>
    </row>
    <row r="596" spans="1:16" ht="14" customHeight="1">
      <c r="A596" s="3" t="s">
        <v>1973</v>
      </c>
      <c r="B596" s="3" t="s">
        <v>1499</v>
      </c>
      <c r="C596" s="3"/>
      <c r="D596" s="3" t="s">
        <v>1168</v>
      </c>
      <c r="E596" s="3" t="s">
        <v>1974</v>
      </c>
      <c r="F596" s="3" t="s">
        <v>1970</v>
      </c>
      <c r="G596" s="10">
        <v>1</v>
      </c>
      <c r="H596" s="10">
        <v>4000</v>
      </c>
      <c r="I596" s="11">
        <v>4000</v>
      </c>
      <c r="J596" s="8">
        <f t="shared" si="18"/>
        <v>4000</v>
      </c>
      <c r="K596" s="8">
        <f t="shared" si="19"/>
        <v>0</v>
      </c>
      <c r="L596" s="3"/>
      <c r="M596" s="3">
        <v>8</v>
      </c>
      <c r="N596" s="3" t="s">
        <v>358</v>
      </c>
      <c r="O596" s="3" t="s">
        <v>60</v>
      </c>
      <c r="P596" s="3"/>
    </row>
    <row r="597" spans="1:16" ht="14" customHeight="1">
      <c r="A597" s="4" t="s">
        <v>1975</v>
      </c>
      <c r="B597" s="4" t="s">
        <v>1499</v>
      </c>
      <c r="C597" s="4"/>
      <c r="D597" s="4" t="s">
        <v>1171</v>
      </c>
      <c r="E597" s="4" t="s">
        <v>1976</v>
      </c>
      <c r="F597" s="4" t="s">
        <v>421</v>
      </c>
      <c r="G597" s="12">
        <v>1</v>
      </c>
      <c r="H597" s="12">
        <v>5000</v>
      </c>
      <c r="I597" s="13">
        <v>5000</v>
      </c>
      <c r="J597" s="9">
        <f t="shared" si="18"/>
        <v>5000</v>
      </c>
      <c r="K597" s="9">
        <f t="shared" si="19"/>
        <v>0</v>
      </c>
      <c r="L597" s="4"/>
      <c r="M597" s="4">
        <v>8</v>
      </c>
      <c r="N597" s="4" t="s">
        <v>358</v>
      </c>
      <c r="O597" s="4" t="s">
        <v>60</v>
      </c>
      <c r="P597" s="4"/>
    </row>
    <row r="598" spans="1:16" ht="14" customHeight="1">
      <c r="A598" s="3" t="s">
        <v>1977</v>
      </c>
      <c r="B598" s="3" t="s">
        <v>1499</v>
      </c>
      <c r="C598" s="3"/>
      <c r="D598" s="3" t="s">
        <v>1175</v>
      </c>
      <c r="E598" s="3" t="s">
        <v>1978</v>
      </c>
      <c r="F598" s="3" t="s">
        <v>357</v>
      </c>
      <c r="G598" s="10">
        <v>1</v>
      </c>
      <c r="H598" s="10">
        <v>5000</v>
      </c>
      <c r="I598" s="11">
        <v>5000</v>
      </c>
      <c r="J598" s="8">
        <f t="shared" si="18"/>
        <v>5000</v>
      </c>
      <c r="K598" s="8">
        <f t="shared" si="19"/>
        <v>0</v>
      </c>
      <c r="L598" s="3"/>
      <c r="M598" s="3">
        <v>8</v>
      </c>
      <c r="N598" s="3" t="s">
        <v>358</v>
      </c>
      <c r="O598" s="3" t="s">
        <v>60</v>
      </c>
      <c r="P598" s="3"/>
    </row>
    <row r="599" spans="1:16" ht="14" customHeight="1">
      <c r="A599" s="4" t="s">
        <v>1979</v>
      </c>
      <c r="B599" s="4" t="s">
        <v>1499</v>
      </c>
      <c r="C599" s="4"/>
      <c r="D599" s="4" t="s">
        <v>1178</v>
      </c>
      <c r="E599" s="4" t="s">
        <v>1980</v>
      </c>
      <c r="F599" s="4" t="s">
        <v>357</v>
      </c>
      <c r="G599" s="12">
        <v>1</v>
      </c>
      <c r="H599" s="12">
        <v>250000</v>
      </c>
      <c r="I599" s="13">
        <v>250000</v>
      </c>
      <c r="J599" s="9">
        <f t="shared" si="18"/>
        <v>250000</v>
      </c>
      <c r="K599" s="9">
        <f t="shared" si="19"/>
        <v>0</v>
      </c>
      <c r="L599" s="4"/>
      <c r="M599" s="4">
        <v>8</v>
      </c>
      <c r="N599" s="4" t="s">
        <v>358</v>
      </c>
      <c r="O599" s="4" t="s">
        <v>60</v>
      </c>
      <c r="P599" s="4"/>
    </row>
    <row r="600" spans="1:16" ht="14" customHeight="1">
      <c r="A600" s="3" t="s">
        <v>1981</v>
      </c>
      <c r="B600" s="3" t="s">
        <v>1499</v>
      </c>
      <c r="C600" s="3"/>
      <c r="D600" s="3" t="s">
        <v>1408</v>
      </c>
      <c r="E600" s="3" t="s">
        <v>1982</v>
      </c>
      <c r="F600" s="3" t="s">
        <v>162</v>
      </c>
      <c r="G600" s="10">
        <v>17.7</v>
      </c>
      <c r="H600" s="10">
        <v>6500</v>
      </c>
      <c r="I600" s="11">
        <v>115050</v>
      </c>
      <c r="J600" s="8">
        <f t="shared" si="18"/>
        <v>115050</v>
      </c>
      <c r="K600" s="8">
        <f t="shared" si="19"/>
        <v>0</v>
      </c>
      <c r="L600" s="3"/>
      <c r="M600" s="3">
        <v>8</v>
      </c>
      <c r="N600" s="3" t="s">
        <v>358</v>
      </c>
      <c r="O600" s="3" t="s">
        <v>60</v>
      </c>
      <c r="P600" s="3"/>
    </row>
    <row r="601" spans="1:16" ht="14" customHeight="1">
      <c r="A601" s="4" t="s">
        <v>1983</v>
      </c>
      <c r="B601" s="4" t="s">
        <v>1499</v>
      </c>
      <c r="C601" s="4"/>
      <c r="D601" s="4" t="s">
        <v>1412</v>
      </c>
      <c r="E601" s="4" t="s">
        <v>1984</v>
      </c>
      <c r="F601" s="4" t="s">
        <v>357</v>
      </c>
      <c r="G601" s="12">
        <v>1</v>
      </c>
      <c r="H601" s="12">
        <v>250000</v>
      </c>
      <c r="I601" s="13">
        <v>250000</v>
      </c>
      <c r="J601" s="9">
        <f t="shared" si="18"/>
        <v>250000</v>
      </c>
      <c r="K601" s="9">
        <f t="shared" si="19"/>
        <v>0</v>
      </c>
      <c r="L601" s="4"/>
      <c r="M601" s="4">
        <v>8</v>
      </c>
      <c r="N601" s="4" t="s">
        <v>358</v>
      </c>
      <c r="O601" s="4" t="s">
        <v>60</v>
      </c>
      <c r="P601" s="4"/>
    </row>
    <row r="602" spans="1:16" ht="14" customHeight="1">
      <c r="A602" s="3" t="s">
        <v>1985</v>
      </c>
      <c r="B602" s="3" t="s">
        <v>1499</v>
      </c>
      <c r="C602" s="3"/>
      <c r="D602" s="3" t="s">
        <v>1416</v>
      </c>
      <c r="E602" s="3" t="s">
        <v>1986</v>
      </c>
      <c r="F602" s="3" t="s">
        <v>434</v>
      </c>
      <c r="G602" s="10">
        <v>8</v>
      </c>
      <c r="H602" s="10">
        <v>5000</v>
      </c>
      <c r="I602" s="11">
        <v>40000</v>
      </c>
      <c r="J602" s="8">
        <f t="shared" si="18"/>
        <v>40000</v>
      </c>
      <c r="K602" s="8">
        <f t="shared" si="19"/>
        <v>0</v>
      </c>
      <c r="L602" s="3"/>
      <c r="M602" s="3">
        <v>8</v>
      </c>
      <c r="N602" s="3" t="s">
        <v>358</v>
      </c>
      <c r="O602" s="3" t="s">
        <v>60</v>
      </c>
      <c r="P602" s="3"/>
    </row>
    <row r="603" spans="1:16" ht="14" customHeight="1">
      <c r="A603" s="4" t="s">
        <v>1987</v>
      </c>
      <c r="B603" s="4" t="s">
        <v>1499</v>
      </c>
      <c r="C603" s="4"/>
      <c r="D603" s="4" t="s">
        <v>1419</v>
      </c>
      <c r="E603" s="4" t="s">
        <v>1988</v>
      </c>
      <c r="F603" s="4" t="s">
        <v>162</v>
      </c>
      <c r="G603" s="12">
        <v>320</v>
      </c>
      <c r="H603" s="12">
        <v>4500</v>
      </c>
      <c r="I603" s="13">
        <v>1440000</v>
      </c>
      <c r="J603" s="9">
        <f t="shared" si="18"/>
        <v>1440000</v>
      </c>
      <c r="K603" s="9">
        <f t="shared" si="19"/>
        <v>0</v>
      </c>
      <c r="L603" s="4"/>
      <c r="M603" s="4">
        <v>8</v>
      </c>
      <c r="N603" s="4" t="s">
        <v>358</v>
      </c>
      <c r="O603" s="4" t="s">
        <v>60</v>
      </c>
      <c r="P603" s="4"/>
    </row>
    <row r="604" spans="1:16" ht="14" customHeight="1">
      <c r="A604" s="3" t="s">
        <v>1989</v>
      </c>
      <c r="B604" s="3" t="s">
        <v>1990</v>
      </c>
      <c r="C604" s="3"/>
      <c r="D604" s="3" t="s">
        <v>1123</v>
      </c>
      <c r="E604" s="3" t="s">
        <v>1991</v>
      </c>
      <c r="F604" s="3" t="s">
        <v>107</v>
      </c>
      <c r="G604" s="10">
        <v>395.93</v>
      </c>
      <c r="H604" s="10">
        <v>120</v>
      </c>
      <c r="I604" s="11">
        <v>47512</v>
      </c>
      <c r="J604" s="8">
        <f t="shared" si="18"/>
        <v>47512</v>
      </c>
      <c r="K604" s="8">
        <f t="shared" si="19"/>
        <v>0</v>
      </c>
      <c r="L604" s="3"/>
      <c r="M604" s="3">
        <v>8</v>
      </c>
      <c r="N604" s="3" t="s">
        <v>358</v>
      </c>
      <c r="O604" s="3" t="s">
        <v>60</v>
      </c>
      <c r="P604" s="3"/>
    </row>
    <row r="605" spans="1:16" ht="14" customHeight="1">
      <c r="A605" s="4" t="s">
        <v>1992</v>
      </c>
      <c r="B605" s="4" t="s">
        <v>1990</v>
      </c>
      <c r="C605" s="4"/>
      <c r="D605" s="4" t="s">
        <v>1126</v>
      </c>
      <c r="E605" s="4" t="s">
        <v>1993</v>
      </c>
      <c r="F605" s="4" t="s">
        <v>107</v>
      </c>
      <c r="G605" s="12">
        <v>135.51</v>
      </c>
      <c r="H605" s="12">
        <v>830</v>
      </c>
      <c r="I605" s="13">
        <v>112473</v>
      </c>
      <c r="J605" s="9">
        <f t="shared" si="18"/>
        <v>112473</v>
      </c>
      <c r="K605" s="9">
        <f t="shared" si="19"/>
        <v>0</v>
      </c>
      <c r="L605" s="4"/>
      <c r="M605" s="4">
        <v>8</v>
      </c>
      <c r="N605" s="4" t="s">
        <v>358</v>
      </c>
      <c r="O605" s="4" t="s">
        <v>60</v>
      </c>
      <c r="P605" s="4"/>
    </row>
    <row r="606" spans="1:16" ht="14" customHeight="1">
      <c r="A606" s="3" t="s">
        <v>1994</v>
      </c>
      <c r="B606" s="3" t="s">
        <v>1990</v>
      </c>
      <c r="C606" s="3"/>
      <c r="D606" s="3" t="s">
        <v>1129</v>
      </c>
      <c r="E606" s="3" t="s">
        <v>1995</v>
      </c>
      <c r="F606" s="3" t="s">
        <v>107</v>
      </c>
      <c r="G606" s="10">
        <v>845</v>
      </c>
      <c r="H606" s="10">
        <v>2000</v>
      </c>
      <c r="I606" s="11">
        <v>1690000</v>
      </c>
      <c r="J606" s="8">
        <f t="shared" si="18"/>
        <v>1690000</v>
      </c>
      <c r="K606" s="8">
        <f t="shared" si="19"/>
        <v>0</v>
      </c>
      <c r="L606" s="3"/>
      <c r="M606" s="3">
        <v>8</v>
      </c>
      <c r="N606" s="3" t="s">
        <v>358</v>
      </c>
      <c r="O606" s="3" t="s">
        <v>60</v>
      </c>
      <c r="P606" s="3"/>
    </row>
    <row r="607" spans="1:16" ht="14" customHeight="1">
      <c r="A607" s="4" t="s">
        <v>1996</v>
      </c>
      <c r="B607" s="4" t="s">
        <v>1997</v>
      </c>
      <c r="C607" s="4"/>
      <c r="D607" s="4" t="s">
        <v>1585</v>
      </c>
      <c r="E607" s="4" t="s">
        <v>1997</v>
      </c>
      <c r="F607" s="4" t="s">
        <v>357</v>
      </c>
      <c r="G607" s="12">
        <v>1</v>
      </c>
      <c r="H607" s="12"/>
      <c r="I607" s="13">
        <v>1463741</v>
      </c>
      <c r="J607" s="9" t="str">
        <f t="shared" si="18"/>
        <v/>
      </c>
      <c r="K607" s="9" t="str">
        <f t="shared" si="19"/>
        <v/>
      </c>
      <c r="L607" s="4" t="s">
        <v>1586</v>
      </c>
      <c r="M607" s="4">
        <v>1</v>
      </c>
      <c r="N607" s="4" t="s">
        <v>1093</v>
      </c>
      <c r="O607" s="4" t="s">
        <v>62</v>
      </c>
      <c r="P607" s="4"/>
    </row>
    <row r="608" spans="1:16" ht="14" customHeight="1">
      <c r="A608" s="3" t="s">
        <v>1998</v>
      </c>
      <c r="B608" s="3" t="s">
        <v>1999</v>
      </c>
      <c r="C608" s="3"/>
      <c r="D608" s="3" t="s">
        <v>1589</v>
      </c>
      <c r="E608" s="3" t="s">
        <v>1999</v>
      </c>
      <c r="F608" s="3" t="s">
        <v>357</v>
      </c>
      <c r="G608" s="10">
        <v>1</v>
      </c>
      <c r="H608" s="10"/>
      <c r="I608" s="11">
        <v>914838</v>
      </c>
      <c r="J608" s="8" t="str">
        <f t="shared" si="18"/>
        <v/>
      </c>
      <c r="K608" s="8" t="str">
        <f t="shared" si="19"/>
        <v/>
      </c>
      <c r="L608" s="3" t="s">
        <v>1586</v>
      </c>
      <c r="M608" s="3">
        <v>1</v>
      </c>
      <c r="N608" s="3" t="s">
        <v>1093</v>
      </c>
      <c r="O608" s="3" t="s">
        <v>62</v>
      </c>
      <c r="P608" s="3"/>
    </row>
    <row r="609" spans="1:16" ht="14" customHeight="1">
      <c r="A609" s="4" t="s">
        <v>2000</v>
      </c>
      <c r="B609" s="4" t="s">
        <v>2001</v>
      </c>
      <c r="C609" s="4"/>
      <c r="D609" s="4" t="s">
        <v>1592</v>
      </c>
      <c r="E609" s="4" t="s">
        <v>2001</v>
      </c>
      <c r="F609" s="4" t="s">
        <v>357</v>
      </c>
      <c r="G609" s="12">
        <v>1</v>
      </c>
      <c r="H609" s="12"/>
      <c r="I609" s="13">
        <v>14637413</v>
      </c>
      <c r="J609" s="9" t="str">
        <f t="shared" si="18"/>
        <v/>
      </c>
      <c r="K609" s="9" t="str">
        <f t="shared" si="19"/>
        <v/>
      </c>
      <c r="L609" s="4" t="s">
        <v>1586</v>
      </c>
      <c r="M609" s="4">
        <v>1</v>
      </c>
      <c r="N609" s="4" t="s">
        <v>1093</v>
      </c>
      <c r="O609" s="4" t="s">
        <v>64</v>
      </c>
      <c r="P609" s="4"/>
    </row>
    <row r="610" spans="1:16" ht="14" customHeight="1">
      <c r="A610" s="3" t="s">
        <v>2002</v>
      </c>
      <c r="B610" s="3" t="s">
        <v>2003</v>
      </c>
      <c r="C610" s="3"/>
      <c r="D610" s="3" t="s">
        <v>1594</v>
      </c>
      <c r="E610" s="3" t="s">
        <v>2003</v>
      </c>
      <c r="F610" s="3" t="s">
        <v>357</v>
      </c>
      <c r="G610" s="10">
        <v>1</v>
      </c>
      <c r="H610" s="10">
        <v>9999183</v>
      </c>
      <c r="I610" s="11">
        <v>9999183</v>
      </c>
      <c r="J610" s="8">
        <f t="shared" si="18"/>
        <v>9999183</v>
      </c>
      <c r="K610" s="8">
        <f t="shared" si="19"/>
        <v>0</v>
      </c>
      <c r="L610" s="3" t="s">
        <v>1586</v>
      </c>
      <c r="M610" s="3">
        <v>1</v>
      </c>
      <c r="N610" s="3" t="s">
        <v>1093</v>
      </c>
      <c r="O610" s="3" t="s">
        <v>66</v>
      </c>
      <c r="P610" s="3"/>
    </row>
    <row r="611" spans="1:16" ht="14" customHeight="1">
      <c r="A611" s="4" t="s">
        <v>2004</v>
      </c>
      <c r="B611" s="4" t="s">
        <v>2005</v>
      </c>
      <c r="C611" s="4"/>
      <c r="D611" s="4" t="s">
        <v>1597</v>
      </c>
      <c r="E611" s="4" t="s">
        <v>2005</v>
      </c>
      <c r="F611" s="4" t="s">
        <v>357</v>
      </c>
      <c r="G611" s="12">
        <v>1</v>
      </c>
      <c r="H611" s="12">
        <v>65000</v>
      </c>
      <c r="I611" s="13">
        <v>65000</v>
      </c>
      <c r="J611" s="9">
        <f t="shared" si="18"/>
        <v>65000</v>
      </c>
      <c r="K611" s="9">
        <f t="shared" si="19"/>
        <v>0</v>
      </c>
      <c r="L611" s="4" t="s">
        <v>1586</v>
      </c>
      <c r="M611" s="4">
        <v>1</v>
      </c>
      <c r="N611" s="4" t="s">
        <v>1093</v>
      </c>
      <c r="O611" s="4" t="s">
        <v>13</v>
      </c>
      <c r="P611" s="4"/>
    </row>
  </sheetData>
  <phoneticPr fontId="7" type="noConversion"/>
  <conditionalFormatting sqref="K6:K611">
    <cfRule type="cellIs" dxfId="1" priority="1" operator="not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9"/>
  <sheetViews>
    <sheetView showGridLines="0" tabSelected="1" workbookViewId="0">
      <pane ySplit="5" topLeftCell="A6" activePane="bottomLeft" state="frozen"/>
      <selection pane="bottomLeft" activeCell="G21" sqref="G21"/>
    </sheetView>
  </sheetViews>
  <sheetFormatPr baseColWidth="10" defaultColWidth="8.83203125" defaultRowHeight="14"/>
  <cols>
    <col min="1" max="1" width="20" customWidth="1"/>
    <col min="2" max="2" width="17" customWidth="1"/>
    <col min="3" max="5" width="20" customWidth="1"/>
    <col min="6" max="6" width="18" customWidth="1"/>
    <col min="7" max="7" width="20" customWidth="1"/>
    <col min="8" max="8" width="25" customWidth="1"/>
    <col min="9" max="9" width="21" customWidth="1"/>
    <col min="10" max="10" width="19" customWidth="1"/>
    <col min="11" max="12" width="90" customWidth="1"/>
  </cols>
  <sheetData>
    <row r="2" spans="1:12" ht="19.25" customHeight="1">
      <c r="A2" s="1" t="s">
        <v>2006</v>
      </c>
    </row>
    <row r="5" spans="1:12" ht="14" customHeight="1">
      <c r="A5" s="2" t="s">
        <v>41</v>
      </c>
      <c r="B5" s="2" t="s">
        <v>19</v>
      </c>
      <c r="C5" s="2" t="s">
        <v>7</v>
      </c>
      <c r="D5" s="2" t="s">
        <v>9</v>
      </c>
      <c r="E5" s="2" t="s">
        <v>11</v>
      </c>
      <c r="F5" s="2" t="s">
        <v>2007</v>
      </c>
      <c r="G5" s="2" t="s">
        <v>2008</v>
      </c>
      <c r="H5" s="2" t="s">
        <v>2009</v>
      </c>
      <c r="I5" s="2" t="s">
        <v>2010</v>
      </c>
      <c r="J5" s="2" t="s">
        <v>2011</v>
      </c>
      <c r="K5" s="2" t="s">
        <v>2012</v>
      </c>
      <c r="L5" s="2" t="s">
        <v>2013</v>
      </c>
    </row>
    <row r="6" spans="1:12" ht="14" customHeight="1">
      <c r="A6" s="3" t="s">
        <v>3</v>
      </c>
      <c r="B6" s="3" t="s">
        <v>20</v>
      </c>
      <c r="C6" s="11">
        <v>141502803</v>
      </c>
      <c r="D6" s="11">
        <v>134764574</v>
      </c>
      <c r="E6" s="11">
        <v>6738229</v>
      </c>
      <c r="F6" s="11"/>
      <c r="G6" s="11">
        <v>117847648</v>
      </c>
      <c r="H6" s="8">
        <v>141502803</v>
      </c>
      <c r="I6" s="8">
        <f>SUM(三家明細!I6:I232)</f>
        <v>141502803</v>
      </c>
      <c r="J6" s="8">
        <f>I6-C6</f>
        <v>0</v>
      </c>
      <c r="K6" s="3" t="s">
        <v>2014</v>
      </c>
      <c r="L6" s="3" t="s">
        <v>2015</v>
      </c>
    </row>
    <row r="7" spans="1:12" ht="26.25" customHeight="1">
      <c r="A7" s="4" t="s">
        <v>4</v>
      </c>
      <c r="B7" s="4" t="s">
        <v>21</v>
      </c>
      <c r="C7" s="13">
        <v>143400000</v>
      </c>
      <c r="D7" s="13">
        <v>136571429</v>
      </c>
      <c r="E7" s="13">
        <v>6828571</v>
      </c>
      <c r="F7" s="13"/>
      <c r="G7" s="13">
        <v>121989307</v>
      </c>
      <c r="H7" s="9">
        <v>143400000</v>
      </c>
      <c r="I7" s="9">
        <f>SUM(三家明細!I233:I420)</f>
        <v>143400000</v>
      </c>
      <c r="J7" s="9">
        <f>I7-C7</f>
        <v>0</v>
      </c>
      <c r="K7" s="4" t="s">
        <v>2016</v>
      </c>
      <c r="L7" s="4" t="s">
        <v>2017</v>
      </c>
    </row>
    <row r="8" spans="1:12" ht="14" customHeight="1">
      <c r="A8" s="3" t="s">
        <v>5</v>
      </c>
      <c r="B8" s="3" t="s">
        <v>22</v>
      </c>
      <c r="C8" s="11">
        <v>210047839</v>
      </c>
      <c r="D8" s="11">
        <v>199983656</v>
      </c>
      <c r="E8" s="11">
        <v>9999183</v>
      </c>
      <c r="F8" s="11">
        <v>65000</v>
      </c>
      <c r="G8" s="11">
        <v>182967664</v>
      </c>
      <c r="H8" s="8">
        <v>210047839</v>
      </c>
      <c r="I8" s="8">
        <f>SUM(三家明細!I421:I611)</f>
        <v>210047840</v>
      </c>
      <c r="J8" s="8">
        <f>I8-C8</f>
        <v>1</v>
      </c>
      <c r="K8" s="3" t="s">
        <v>2018</v>
      </c>
      <c r="L8" s="3" t="s">
        <v>2019</v>
      </c>
    </row>
    <row r="12" spans="1:12" ht="14" customHeight="1">
      <c r="A12" t="s">
        <v>41</v>
      </c>
      <c r="B12" t="s">
        <v>341</v>
      </c>
      <c r="C12" t="s">
        <v>2020</v>
      </c>
      <c r="D12" t="s">
        <v>351</v>
      </c>
      <c r="E12" t="s">
        <v>2021</v>
      </c>
    </row>
    <row r="13" spans="1:12" ht="14" customHeight="1">
      <c r="A13" t="s">
        <v>3</v>
      </c>
      <c r="B13" t="s">
        <v>50</v>
      </c>
      <c r="C13" s="15">
        <v>3604928</v>
      </c>
      <c r="D13">
        <v>1</v>
      </c>
      <c r="E13" t="s">
        <v>2022</v>
      </c>
    </row>
    <row r="14" spans="1:12" ht="14" customHeight="1">
      <c r="A14" t="s">
        <v>3</v>
      </c>
      <c r="B14" t="s">
        <v>378</v>
      </c>
      <c r="C14" s="15">
        <v>1637383</v>
      </c>
      <c r="D14">
        <v>1</v>
      </c>
      <c r="E14" t="s">
        <v>2022</v>
      </c>
    </row>
    <row r="15" spans="1:12" ht="14" customHeight="1">
      <c r="A15" t="s">
        <v>3</v>
      </c>
      <c r="B15" t="s">
        <v>54</v>
      </c>
      <c r="C15" s="15">
        <v>31302484</v>
      </c>
      <c r="D15">
        <v>1</v>
      </c>
      <c r="E15" t="s">
        <v>2022</v>
      </c>
    </row>
    <row r="16" spans="1:12" ht="14" customHeight="1">
      <c r="A16" t="s">
        <v>3</v>
      </c>
      <c r="B16" t="s">
        <v>470</v>
      </c>
      <c r="C16" s="15">
        <v>38156185</v>
      </c>
      <c r="D16">
        <v>1</v>
      </c>
      <c r="E16" t="s">
        <v>2022</v>
      </c>
    </row>
    <row r="17" spans="1:5" ht="14" customHeight="1">
      <c r="A17" t="s">
        <v>3</v>
      </c>
      <c r="B17" t="s">
        <v>539</v>
      </c>
      <c r="C17" s="15">
        <v>20184097</v>
      </c>
      <c r="D17">
        <v>1</v>
      </c>
      <c r="E17" t="s">
        <v>2022</v>
      </c>
    </row>
    <row r="18" spans="1:5" ht="14" customHeight="1">
      <c r="A18" t="s">
        <v>3</v>
      </c>
      <c r="B18" t="s">
        <v>688</v>
      </c>
      <c r="C18" s="15">
        <v>12011044</v>
      </c>
      <c r="D18">
        <v>1</v>
      </c>
      <c r="E18" t="s">
        <v>2022</v>
      </c>
    </row>
    <row r="19" spans="1:5" ht="14" customHeight="1">
      <c r="A19" t="s">
        <v>3</v>
      </c>
      <c r="B19" t="s">
        <v>58</v>
      </c>
      <c r="C19" s="15">
        <v>7140806</v>
      </c>
      <c r="D19">
        <v>1</v>
      </c>
      <c r="E19" t="s">
        <v>2022</v>
      </c>
    </row>
    <row r="20" spans="1:5" ht="14" customHeight="1">
      <c r="A20" t="s">
        <v>3</v>
      </c>
      <c r="B20" t="s">
        <v>998</v>
      </c>
      <c r="C20" s="15">
        <v>1096267</v>
      </c>
      <c r="D20">
        <v>1</v>
      </c>
      <c r="E20" t="s">
        <v>2022</v>
      </c>
    </row>
    <row r="21" spans="1:5" ht="14" customHeight="1">
      <c r="A21" t="s">
        <v>3</v>
      </c>
      <c r="B21" t="s">
        <v>1058</v>
      </c>
      <c r="C21" s="15">
        <v>2714454</v>
      </c>
      <c r="D21">
        <v>1</v>
      </c>
      <c r="E21" t="s">
        <v>2022</v>
      </c>
    </row>
    <row r="22" spans="1:5" ht="14" customHeight="1">
      <c r="A22" t="s">
        <v>3</v>
      </c>
      <c r="B22" t="s">
        <v>1091</v>
      </c>
      <c r="C22" s="15">
        <v>3605864</v>
      </c>
      <c r="D22">
        <v>1</v>
      </c>
      <c r="E22" t="s">
        <v>2022</v>
      </c>
    </row>
    <row r="23" spans="1:5" ht="14" customHeight="1">
      <c r="A23" t="s">
        <v>3</v>
      </c>
      <c r="B23" t="s">
        <v>1113</v>
      </c>
      <c r="C23" s="15">
        <v>11319467</v>
      </c>
      <c r="D23">
        <v>1</v>
      </c>
      <c r="E23" t="s">
        <v>2022</v>
      </c>
    </row>
    <row r="24" spans="1:5" ht="14" customHeight="1">
      <c r="A24" t="s">
        <v>3</v>
      </c>
      <c r="B24" t="s">
        <v>1116</v>
      </c>
      <c r="C24" s="15">
        <v>8729824</v>
      </c>
      <c r="D24">
        <v>1</v>
      </c>
      <c r="E24" t="s">
        <v>2022</v>
      </c>
    </row>
    <row r="25" spans="1:5" ht="14" customHeight="1">
      <c r="A25" t="s">
        <v>4</v>
      </c>
      <c r="B25" t="s">
        <v>50</v>
      </c>
      <c r="C25" s="15">
        <v>3799609</v>
      </c>
      <c r="D25">
        <v>1</v>
      </c>
      <c r="E25" t="s">
        <v>2022</v>
      </c>
    </row>
    <row r="26" spans="1:5" ht="14" customHeight="1">
      <c r="A26" t="s">
        <v>4</v>
      </c>
      <c r="B26" t="s">
        <v>1182</v>
      </c>
      <c r="C26" s="15">
        <v>37387686</v>
      </c>
      <c r="D26">
        <v>1</v>
      </c>
      <c r="E26" t="s">
        <v>2022</v>
      </c>
    </row>
    <row r="27" spans="1:5" ht="14" customHeight="1">
      <c r="A27" t="s">
        <v>4</v>
      </c>
      <c r="B27" t="s">
        <v>54</v>
      </c>
      <c r="C27" s="15">
        <v>35684599</v>
      </c>
      <c r="D27">
        <v>1</v>
      </c>
      <c r="E27" t="s">
        <v>2022</v>
      </c>
    </row>
    <row r="28" spans="1:5" ht="14" customHeight="1">
      <c r="A28" t="s">
        <v>4</v>
      </c>
      <c r="B28" t="s">
        <v>1257</v>
      </c>
      <c r="C28" s="15">
        <v>29804181</v>
      </c>
      <c r="D28">
        <v>1</v>
      </c>
      <c r="E28" t="s">
        <v>2022</v>
      </c>
    </row>
    <row r="29" spans="1:5" ht="14" customHeight="1">
      <c r="A29" t="s">
        <v>4</v>
      </c>
      <c r="B29" t="s">
        <v>58</v>
      </c>
      <c r="C29" s="15">
        <v>9523700</v>
      </c>
      <c r="D29">
        <v>1</v>
      </c>
      <c r="E29" t="s">
        <v>2022</v>
      </c>
    </row>
    <row r="30" spans="1:5" ht="14" customHeight="1">
      <c r="A30" t="s">
        <v>4</v>
      </c>
      <c r="B30" t="s">
        <v>1499</v>
      </c>
      <c r="C30" s="15">
        <v>5789532</v>
      </c>
      <c r="D30">
        <v>1</v>
      </c>
      <c r="E30" t="s">
        <v>2022</v>
      </c>
    </row>
    <row r="31" spans="1:5" ht="14" customHeight="1">
      <c r="A31" t="s">
        <v>4</v>
      </c>
      <c r="B31" t="s">
        <v>1091</v>
      </c>
      <c r="C31" s="15">
        <v>1219893</v>
      </c>
      <c r="D31">
        <v>1</v>
      </c>
      <c r="E31" t="s">
        <v>2022</v>
      </c>
    </row>
    <row r="32" spans="1:5" ht="14" customHeight="1">
      <c r="A32" t="s">
        <v>4</v>
      </c>
      <c r="B32" t="s">
        <v>1588</v>
      </c>
      <c r="C32" s="15">
        <v>1219893</v>
      </c>
      <c r="D32">
        <v>1</v>
      </c>
      <c r="E32" t="s">
        <v>2022</v>
      </c>
    </row>
    <row r="33" spans="1:5" ht="14" customHeight="1">
      <c r="A33" t="s">
        <v>4</v>
      </c>
      <c r="B33" t="s">
        <v>1591</v>
      </c>
      <c r="C33" s="15">
        <v>487957</v>
      </c>
      <c r="D33">
        <v>1</v>
      </c>
      <c r="E33" t="s">
        <v>2022</v>
      </c>
    </row>
    <row r="34" spans="1:5" ht="14" customHeight="1">
      <c r="A34" t="s">
        <v>4</v>
      </c>
      <c r="B34" t="s">
        <v>64</v>
      </c>
      <c r="C34" s="15">
        <v>11654379</v>
      </c>
      <c r="D34">
        <v>1</v>
      </c>
      <c r="E34" t="s">
        <v>2022</v>
      </c>
    </row>
    <row r="35" spans="1:5" ht="14" customHeight="1">
      <c r="A35" t="s">
        <v>4</v>
      </c>
      <c r="B35" t="s">
        <v>1596</v>
      </c>
      <c r="C35" s="15">
        <v>6828571</v>
      </c>
      <c r="D35">
        <v>1</v>
      </c>
      <c r="E35" t="s">
        <v>2022</v>
      </c>
    </row>
    <row r="36" spans="1:5" ht="14" customHeight="1">
      <c r="A36" t="s">
        <v>5</v>
      </c>
      <c r="B36" t="s">
        <v>50</v>
      </c>
      <c r="C36" s="15">
        <v>6917256</v>
      </c>
      <c r="D36">
        <v>1</v>
      </c>
      <c r="E36" t="s">
        <v>2022</v>
      </c>
    </row>
    <row r="37" spans="1:5" ht="14" customHeight="1">
      <c r="A37" t="s">
        <v>5</v>
      </c>
      <c r="B37" t="s">
        <v>470</v>
      </c>
      <c r="C37" s="15">
        <v>63168038</v>
      </c>
      <c r="D37">
        <v>1</v>
      </c>
      <c r="E37" t="s">
        <v>2022</v>
      </c>
    </row>
    <row r="38" spans="1:5" ht="14" customHeight="1">
      <c r="A38" t="s">
        <v>5</v>
      </c>
      <c r="B38" t="s">
        <v>54</v>
      </c>
      <c r="C38" s="15">
        <v>41869118</v>
      </c>
      <c r="D38">
        <v>1</v>
      </c>
      <c r="E38" t="s">
        <v>2022</v>
      </c>
    </row>
    <row r="39" spans="1:5" ht="14" customHeight="1">
      <c r="A39" t="s">
        <v>5</v>
      </c>
      <c r="B39" t="s">
        <v>1257</v>
      </c>
      <c r="C39" s="15">
        <v>41094488</v>
      </c>
      <c r="D39">
        <v>1</v>
      </c>
      <c r="E39" t="s">
        <v>2022</v>
      </c>
    </row>
    <row r="40" spans="1:5" ht="14" customHeight="1">
      <c r="A40" t="s">
        <v>5</v>
      </c>
      <c r="B40" t="s">
        <v>688</v>
      </c>
      <c r="C40" s="15">
        <v>13066593</v>
      </c>
      <c r="D40">
        <v>1</v>
      </c>
      <c r="E40" t="s">
        <v>2022</v>
      </c>
    </row>
    <row r="41" spans="1:5" ht="14" customHeight="1">
      <c r="A41" t="s">
        <v>5</v>
      </c>
      <c r="B41" t="s">
        <v>58</v>
      </c>
      <c r="C41" s="15">
        <v>7371886</v>
      </c>
      <c r="D41">
        <v>1</v>
      </c>
      <c r="E41" t="s">
        <v>2022</v>
      </c>
    </row>
    <row r="42" spans="1:5" ht="14" customHeight="1">
      <c r="A42" t="s">
        <v>5</v>
      </c>
      <c r="B42" t="s">
        <v>1935</v>
      </c>
      <c r="C42" s="15">
        <v>4693000</v>
      </c>
      <c r="D42">
        <v>1</v>
      </c>
      <c r="E42" t="s">
        <v>2022</v>
      </c>
    </row>
    <row r="43" spans="1:5" ht="14" customHeight="1">
      <c r="A43" t="s">
        <v>5</v>
      </c>
      <c r="B43" t="s">
        <v>1499</v>
      </c>
      <c r="C43" s="15">
        <v>2937300</v>
      </c>
      <c r="D43">
        <v>1</v>
      </c>
      <c r="E43" t="s">
        <v>2022</v>
      </c>
    </row>
    <row r="44" spans="1:5" ht="14" customHeight="1">
      <c r="A44" t="s">
        <v>5</v>
      </c>
      <c r="B44" t="s">
        <v>1990</v>
      </c>
      <c r="C44" s="15">
        <v>1849985</v>
      </c>
      <c r="D44">
        <v>1</v>
      </c>
      <c r="E44" t="s">
        <v>2022</v>
      </c>
    </row>
    <row r="45" spans="1:5" ht="14" customHeight="1">
      <c r="A45" t="s">
        <v>5</v>
      </c>
      <c r="B45" t="s">
        <v>1997</v>
      </c>
      <c r="C45" s="15">
        <v>1463741</v>
      </c>
      <c r="D45">
        <v>1</v>
      </c>
      <c r="E45" t="s">
        <v>2022</v>
      </c>
    </row>
    <row r="46" spans="1:5" ht="14" customHeight="1">
      <c r="A46" t="s">
        <v>5</v>
      </c>
      <c r="B46" t="s">
        <v>1999</v>
      </c>
      <c r="C46" s="15">
        <v>914838</v>
      </c>
      <c r="D46">
        <v>1</v>
      </c>
      <c r="E46" t="s">
        <v>2022</v>
      </c>
    </row>
    <row r="47" spans="1:5" ht="14" customHeight="1">
      <c r="A47" t="s">
        <v>5</v>
      </c>
      <c r="B47" t="s">
        <v>2001</v>
      </c>
      <c r="C47" s="15">
        <v>14637413</v>
      </c>
      <c r="D47">
        <v>1</v>
      </c>
      <c r="E47" t="s">
        <v>2022</v>
      </c>
    </row>
    <row r="48" spans="1:5" ht="14" customHeight="1">
      <c r="A48" t="s">
        <v>5</v>
      </c>
      <c r="B48" t="s">
        <v>2003</v>
      </c>
      <c r="C48" s="15">
        <v>9999183</v>
      </c>
      <c r="D48">
        <v>1</v>
      </c>
      <c r="E48" t="s">
        <v>2022</v>
      </c>
    </row>
    <row r="49" spans="1:5" ht="14" customHeight="1">
      <c r="A49" t="s">
        <v>5</v>
      </c>
      <c r="B49" t="s">
        <v>2005</v>
      </c>
      <c r="C49" s="15">
        <v>65000</v>
      </c>
      <c r="D49">
        <v>1</v>
      </c>
      <c r="E49" t="s">
        <v>2022</v>
      </c>
    </row>
  </sheetData>
  <phoneticPr fontId="7" type="noConversion"/>
  <conditionalFormatting sqref="J6:J8">
    <cfRule type="cellIs" dxfId="0" priority="1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綜合總覽</vt:lpstr>
      <vt:lpstr>分類比較</vt:lpstr>
      <vt:lpstr>單價與數量</vt:lpstr>
      <vt:lpstr>價差拆解</vt:lpstr>
      <vt:lpstr>範圍品牌條款</vt:lpstr>
      <vt:lpstr>待確認事項</vt:lpstr>
      <vt:lpstr>三家明細</vt:lpstr>
      <vt:lpstr>原報價總表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宗群 陳</cp:lastModifiedBy>
  <dcterms:modified xsi:type="dcterms:W3CDTF">2026-10-06T13:27:58Z</dcterms:modified>
</cp:coreProperties>
</file>