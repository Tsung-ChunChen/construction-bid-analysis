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61beed9cc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報價總覽" sheetId="1" r:id="Red570020de384301"/>
    <x:sheet xmlns:r="http://schemas.openxmlformats.org/officeDocument/2006/relationships" name="報價明細" sheetId="2" r:id="R4cf2f07b8adc45af"/>
    <x:sheet xmlns:r="http://schemas.openxmlformats.org/officeDocument/2006/relationships" name="備註與來源" sheetId="3" r:id="R4d49a4acec47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–&quot;"/>
    <x:numFmt numFmtId="201" formatCode="#,##0;[Red](#,##0);&quot;–&quot;"/>
  </x:numFmts>
  <x:fonts count="10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sz val="11"/>
      <x:color rgb="FF263749"/>
      <x:name val="Arial"/>
    </x:font>
    <x:font>
      <x:sz val="11"/>
      <x:color rgb="FF1D5C99"/>
      <x:name val="Arial"/>
    </x:font>
    <x:font>
      <x:sz val="11"/>
      <x:color rgb="FF58677B"/>
      <x:name val="Arial"/>
    </x:font>
    <x:font>
      <x:b/>
      <x:sz val="11"/>
      <x:name val="Carlito"/>
    </x:font>
    <x:font>
      <x:b/>
      <x:sz val="11"/>
      <x:color rgb="FF263749"/>
      <x:name val="Arial"/>
    </x:font>
    <x:font>
      <x:b/>
      <x:sz val="11"/>
      <x:color rgb="FFFFFFFF"/>
      <x:name val="Carlito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2F5F8"/>
      </x:patternFill>
    </x:fill>
    <x:fill>
      <x:patternFill patternType="solid">
        <x:fgColor rgb="FFE2EBF3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421A"/>
      </x:font>
      <x:fill>
        <x:patternFill patternType="solid">
          <x:bgColor rgb="FFFFF0D9"/>
        </x:patternFill>
      </x:fill>
    </x:dxf>
    <x:dxf>
      <x:font>
        <x:b/>
        <x:color rgb="FF9C421A"/>
      </x:font>
      <x:fill>
        <x:patternFill patternType="solid">
          <x:bgColor rgb="FFFFF0D9"/>
        </x:patternFill>
      </x:fill>
    </x:dxf>
    <x:dxf>
      <x:font>
        <x:b/>
        <x:color rgb="FF9C421A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b37075f7944c1" /><Relationship Type="http://schemas.openxmlformats.org/officeDocument/2006/relationships/theme" Target="/xl/theme/theme1.xml" Id="R431ae156219c4be7" /><Relationship Type="http://schemas.openxmlformats.org/officeDocument/2006/relationships/sharedStrings" Target="/xl/sharedStrings.xml" Id="R4b99d9dcc4334fa6" /><Relationship Type="http://schemas.openxmlformats.org/officeDocument/2006/relationships/worksheet" Target="/xl/worksheets/sheet1.xml" Id="Red570020de384301" /><Relationship Type="http://schemas.openxmlformats.org/officeDocument/2006/relationships/worksheet" Target="/xl/worksheets/sheet2.xml" Id="R4cf2f07b8adc45af" /><Relationship Type="http://schemas.openxmlformats.org/officeDocument/2006/relationships/worksheet" Target="/xl/worksheets/sheet3.xml" Id="R4d49a4acec474c0b" /></Relationships>
</file>

<file path=xl/tables/table1.xml><?xml version="1.0" encoding="utf-8"?>
<x:table xmlns:x="http://schemas.openxmlformats.org/spreadsheetml/2006/main" id="1" name="Detail2" displayName="Detail2" ref="A5:P193" headerRowCount="1" totalsRowCount="0" totalsRowShown="0">
  <x:tableColumns count="16">
    <x:tableColumn id="1" name="資料ID"/>
    <x:tableColumn id="2" name="原分類"/>
    <x:tableColumn id="3" name="子分類"/>
    <x:tableColumn id="4" name="原項次"/>
    <x:tableColumn id="5" name="工程項目／規格"/>
    <x:tableColumn id="6" name="單位"/>
    <x:tableColumn id="7" name="數量"/>
    <x:tableColumn id="8" name="原單價"/>
    <x:tableColumn id="9" name="原複價"/>
    <x:tableColumn id="10" name="數量×單價"/>
    <x:tableColumn id="11" name="原複價減乘算"/>
    <x:tableColumn id="12" name="品牌／原備註"/>
    <x:tableColumn id="13" name="PDF頁"/>
    <x:tableColumn id="14" name="性質"/>
    <x:tableColumn id="15" name="統一比較分類"/>
    <x:tableColumn id="16" name="核對說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d789cb78104f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80" hidden="0" customWidth="1"/>
  </x:cols>
  <x:sheetData>
    <x:row r="2" ht="19.200000762939453" customHeight="1">
      <x:c r="A2" s="1" t="str">
        <x:v>立東營造工程報價整理</x:v>
      </x:c>
    </x:row>
    <x:row r="3" ht="15" customHeight="1">
      <x:c r="A3" s="19" t="str">
        <x:v>新臺幣元。原分類與費用完整保留；明細可篩選並追溯PDF頁碼。</x:v>
      </x:c>
    </x:row>
    <x:row r="5" ht="15" customHeight="1">
      <x:c r="A5" s="6" t="str">
        <x:v>原總表分類</x:v>
      </x:c>
      <x:c r="B5" s="6" t="str">
        <x:v>原列金額</x:v>
      </x:c>
      <x:c r="C5" s="6" t="str">
        <x:v>明細彙總</x:v>
      </x:c>
      <x:c r="D5" s="6" t="str">
        <x:v>彙總減原列</x:v>
      </x:c>
      <x:c r="E5" s="6" t="str">
        <x:v>說明</x:v>
      </x:c>
    </x:row>
    <x:row r="6" ht="15" customHeight="1">
      <x:c r="A6" s="9" t="str">
        <x:v>假設工程</x:v>
      </x:c>
      <x:c r="B6" s="13" t="n">
        <x:v>3799609</x:v>
      </x:c>
      <x:c r="C6" s="13" t="n">
        <x:f>SUMIFS('報價明細'!$I$6:$I$193,'報價明細'!$B$6:$B$193,A6)</x:f>
        <x:v>3799609</x:v>
      </x:c>
      <x:c r="D6" s="13" t="n">
        <x:f>C6-B6</x:f>
        <x:v>0</x:v>
      </x:c>
      <x:c r="E6" s="9" t="str"/>
    </x:row>
    <x:row r="7" ht="15" customHeight="1">
      <x:c r="A7" s="10" t="str">
        <x:v>結構體工程</x:v>
      </x:c>
      <x:c r="B7" s="14" t="n">
        <x:v>37387686</x:v>
      </x:c>
      <x:c r="C7" s="14" t="n">
        <x:f>SUMIFS('報價明細'!$I$6:$I$193,'報價明細'!$B$6:$B$193,A7)</x:f>
        <x:v>37387686</x:v>
      </x:c>
      <x:c r="D7" s="14" t="n">
        <x:f>C7-B7</x:f>
        <x:v>0</x:v>
      </x:c>
      <x:c r="E7" s="10" t="str"/>
    </x:row>
    <x:row r="8" ht="15" customHeight="1">
      <x:c r="A8" s="9" t="str">
        <x:v>鋼構工程</x:v>
      </x:c>
      <x:c r="B8" s="13" t="n">
        <x:v>35684599</x:v>
      </x:c>
      <x:c r="C8" s="13" t="n">
        <x:f>SUMIFS('報價明細'!$I$6:$I$193,'報價明細'!$B$6:$B$193,A8)</x:f>
        <x:v>35684599</x:v>
      </x:c>
      <x:c r="D8" s="13" t="n">
        <x:f>C8-B8</x:f>
        <x:v>0</x:v>
      </x:c>
      <x:c r="E8" s="9" t="str"/>
    </x:row>
    <x:row r="9" ht="15" customHeight="1">
      <x:c r="A9" s="10" t="str">
        <x:v>泥作裝修工程</x:v>
      </x:c>
      <x:c r="B9" s="14" t="n">
        <x:v>29804181</x:v>
      </x:c>
      <x:c r="C9" s="14" t="n">
        <x:f>SUMIFS('報價明細'!$I$6:$I$193,'報價明細'!$B$6:$B$193,A9)</x:f>
        <x:v>29804181</x:v>
      </x:c>
      <x:c r="D9" s="14" t="n">
        <x:f>C9-B9</x:f>
        <x:v>0</x:v>
      </x:c>
      <x:c r="E9" s="10" t="str"/>
    </x:row>
    <x:row r="10" ht="15" customHeight="1">
      <x:c r="A10" s="9" t="str">
        <x:v>門窗工程</x:v>
      </x:c>
      <x:c r="B10" s="13" t="n">
        <x:v>9523700</x:v>
      </x:c>
      <x:c r="C10" s="13" t="n">
        <x:f>SUMIFS('報價明細'!$I$6:$I$193,'報價明細'!$B$6:$B$193,A10)</x:f>
        <x:v>9523700</x:v>
      </x:c>
      <x:c r="D10" s="13" t="n">
        <x:f>C10-B10</x:f>
        <x:v>0</x:v>
      </x:c>
      <x:c r="E10" s="9" t="str"/>
    </x:row>
    <x:row r="11" ht="15" customHeight="1">
      <x:c r="A11" s="10" t="str">
        <x:v>雜項工程</x:v>
      </x:c>
      <x:c r="B11" s="14" t="n">
        <x:v>5789532</x:v>
      </x:c>
      <x:c r="C11" s="14" t="n">
        <x:f>SUMIFS('報價明細'!$I$6:$I$193,'報價明細'!$B$6:$B$193,A11)</x:f>
        <x:v>5789532</x:v>
      </x:c>
      <x:c r="D11" s="14" t="n">
        <x:f>C11-B11</x:f>
        <x:v>0</x:v>
      </x:c>
      <x:c r="E11" s="10" t="str"/>
    </x:row>
    <x:row r="12" ht="15" customHeight="1">
      <x:c r="A12" s="9" t="str">
        <x:v>運什費</x:v>
      </x:c>
      <x:c r="B12" s="13" t="n">
        <x:v>1219893</x:v>
      </x:c>
      <x:c r="C12" s="13" t="n">
        <x:f>SUMIFS('報價明細'!$I$6:$I$193,'報價明細'!$B$6:$B$193,A12)</x:f>
        <x:v>1219893</x:v>
      </x:c>
      <x:c r="D12" s="13" t="n">
        <x:f>C12-B12</x:f>
        <x:v>0</x:v>
      </x:c>
      <x:c r="E12" s="9" t="str"/>
    </x:row>
    <x:row r="13" ht="15" customHeight="1">
      <x:c r="A13" s="10" t="str">
        <x:v>勞工安全衛生及品質管理費</x:v>
      </x:c>
      <x:c r="B13" s="14" t="n">
        <x:v>1219893</x:v>
      </x:c>
      <x:c r="C13" s="14" t="n">
        <x:f>SUMIFS('報價明細'!$I$6:$I$193,'報價明細'!$B$6:$B$193,A13)</x:f>
        <x:v>1219893</x:v>
      </x:c>
      <x:c r="D13" s="14" t="n">
        <x:f>C13-B13</x:f>
        <x:v>0</x:v>
      </x:c>
      <x:c r="E13" s="10" t="str"/>
    </x:row>
    <x:row r="14" ht="15" customHeight="1">
      <x:c r="A14" s="9" t="str">
        <x:v>工程保險費</x:v>
      </x:c>
      <x:c r="B14" s="13" t="n">
        <x:v>487957</x:v>
      </x:c>
      <x:c r="C14" s="13" t="n">
        <x:f>SUMIFS('報價明細'!$I$6:$I$193,'報價明細'!$B$6:$B$193,A14)</x:f>
        <x:v>487957</x:v>
      </x:c>
      <x:c r="D14" s="13" t="n">
        <x:f>C14-B14</x:f>
        <x:v>0</x:v>
      </x:c>
      <x:c r="E14" s="9" t="str"/>
    </x:row>
    <x:row r="15" ht="15" customHeight="1">
      <x:c r="A15" s="10" t="str">
        <x:v>管理及利潤</x:v>
      </x:c>
      <x:c r="B15" s="14" t="n">
        <x:v>11654379</x:v>
      </x:c>
      <x:c r="C15" s="14" t="n">
        <x:f>SUMIFS('報價明細'!$I$6:$I$193,'報價明細'!$B$6:$B$193,A15)</x:f>
        <x:v>11654379</x:v>
      </x:c>
      <x:c r="D15" s="14" t="n">
        <x:f>C15-B15</x:f>
        <x:v>0</x:v>
      </x:c>
      <x:c r="E15" s="10" t="str"/>
    </x:row>
    <x:row r="16" ht="15" customHeight="1">
      <x:c r="A16" s="9" t="str">
        <x:v>加值營業稅</x:v>
      </x:c>
      <x:c r="B16" s="13" t="n">
        <x:v>6828571</x:v>
      </x:c>
      <x:c r="C16" s="13" t="n">
        <x:f>SUMIFS('報價明細'!$I$6:$I$193,'報價明細'!$B$6:$B$193,A16)</x:f>
        <x:v>6828571</x:v>
      </x:c>
      <x:c r="D16" s="13" t="n">
        <x:f>C16-B16</x:f>
        <x:v>0</x:v>
      </x:c>
      <x:c r="E16" s="9" t="str"/>
    </x:row>
    <x:row r="17" ht="15" customHeight="1">
      <x:c r="B17" s="20"/>
      <x:c r="C17" s="20"/>
      <x:c r="D17" s="20"/>
    </x:row>
    <x:row r="18" ht="15" customHeight="1">
      <x:c r="A18" s="25" t="str">
        <x:v>原報價總計</x:v>
      </x:c>
      <x:c r="B18" s="26" t="n">
        <x:v>143400000</x:v>
      </x:c>
      <x:c r="C18" s="26" t="n">
        <x:f>SUM('報價明細'!I6:I193)</x:f>
        <x:v>143400000</x:v>
      </x:c>
      <x:c r="D18" s="26" t="n">
        <x:f>C18-B18</x:f>
        <x:v>0</x:v>
      </x:c>
      <x:c r="E18" s="25" t="str">
        <x:v>原總價保留，不以重算結果覆蓋</x:v>
      </x:c>
    </x:row>
    <x:row r="19" ht="15" customHeight="1">
      <x:c r="A19" s="7" t="str">
        <x:v>稅前合計</x:v>
      </x:c>
      <x:c r="B19" s="27" t="n">
        <x:v>136571429</x:v>
      </x:c>
      <x:c r="C19" s="27"/>
      <x:c r="D19" s="27"/>
      <x:c r="E19" s="7" t="str">
        <x:v>不含營業稅；基益另列空污費</x:v>
      </x:c>
    </x:row>
    <x:row r="20" ht="15" customHeight="1">
      <x:c r="A20" s="7" t="str">
        <x:v>營業稅</x:v>
      </x:c>
      <x:c r="B20" s="27" t="n">
        <x:v>6828571</x:v>
      </x:c>
      <x:c r="C20" s="27"/>
      <x:c r="D20" s="27"/>
      <x:c r="E20" s="7" t="str">
        <x:v>原報價稅額</x:v>
      </x:c>
    </x:row>
    <x:row r="21" ht="15" customHeight="1">
      <x:c r="A21" s="7" t="str">
        <x:v>空污費</x:v>
      </x:c>
      <x:c r="B21" s="28" t="str">
        <x:v>未列價／業主負擔</x:v>
      </x:c>
      <x:c r="C21" s="28"/>
      <x:c r="D21" s="28"/>
      <x:c r="E21" s="8" t="str">
        <x:v>是否包含及課稅口徑依原單</x:v>
      </x:c>
    </x:row>
    <x:row r="22" ht="15" customHeight="1">
      <x:c r="A22" s="7" t="str">
        <x:v>報價日期</x:v>
      </x:c>
      <x:c r="B22" s="8" t="str">
        <x:v>2026-10-01</x:v>
      </x:c>
      <x:c r="C22" s="8"/>
      <x:c r="D22" s="8"/>
      <x:c r="E22" s="8" t="str">
        <x:v>日期依檔名115.10.01；PDF內未見日期</x:v>
      </x:c>
    </x:row>
    <x:row r="23" ht="26.399999618530273" customHeight="1">
      <x:c r="A23" s="7" t="str">
        <x:v>有效期限</x:v>
      </x:c>
      <x:c r="B23" s="8" t="str">
        <x:v>14天；超期依時價重新報價</x:v>
      </x:c>
      <x:c r="C23" s="8"/>
      <x:c r="D23" s="8"/>
      <x:c r="E23" s="8" t="str">
        <x:v>原報價條件</x:v>
      </x:c>
    </x:row>
    <x:row r="24" ht="15" customHeight="1">
      <x:c r="A24" s="7" t="str">
        <x:v>明細筆數</x:v>
      </x:c>
      <x:c r="B24" s="8" t="n">
        <x:v>188</x:v>
      </x:c>
      <x:c r="C24" s="8"/>
      <x:c r="D24" s="8"/>
      <x:c r="E24" s="8" t="str">
        <x:v>含明細及僅在總表列示的費用</x:v>
      </x:c>
    </x:row>
    <x:row r="26" ht="15" customHeight="1">
      <x:c r="A26" t="str">
        <x:v>使用者稱立東，PDF抬頭為立東建設／營寶營造；簽約主體待確認。</x:v>
      </x:c>
    </x:row>
    <x:row r="27" ht="28" customHeight="1"/>
    <x:row r="28" ht="15" customHeight="1">
      <x:c r="A28" t="str">
        <x:v>核對採原單顯示數量及單價四捨五入至元；小額差異可能源自底層精度。</x:v>
      </x:c>
    </x:row>
    <x:row r="31" ht="15" customHeight="1">
      <x:c r="A31" s="29" t="str">
        <x:v>原分項小計（不再加總）</x:v>
      </x:c>
      <x:c r="B31" s="29" t="str">
        <x:v>原列金額</x:v>
      </x:c>
      <x:c r="C31" s="29" t="str">
        <x:v>明細彙總</x:v>
      </x:c>
      <x:c r="D31" s="29" t="str">
        <x:v>彙總減原列</x:v>
      </x:c>
      <x:c r="E31" s="29" t="str">
        <x:v>分類／PDF頁</x:v>
      </x:c>
    </x:row>
    <x:row r="32" ht="15" customHeight="1">
      <x:c r="A32" s="31" t="str">
        <x:v>鋼構一次工程</x:v>
      </x:c>
      <x:c r="B32" s="32" t="n">
        <x:v>34188812</x:v>
      </x:c>
      <x:c r="C32" s="32" t="n">
        <x:f>SUMIFS('報價明細'!$I$6:$I$193,'報價明細'!$B$6:$B$193,"鋼構工程",'報價明細'!$C$6:$C$193,"鋼構一次工程")</x:f>
        <x:v>34188812</x:v>
      </x:c>
      <x:c r="D32" s="32" t="n">
        <x:f>C32-B32</x:f>
        <x:v>0</x:v>
      </x:c>
      <x:c r="E32" s="31" t="str">
        <x:v>鋼構工程／p3</x:v>
      </x:c>
    </x:row>
    <x:row r="33" ht="15" customHeight="1">
      <x:c r="A33" s="31" t="str">
        <x:v>鋼構二次工程</x:v>
      </x:c>
      <x:c r="B33" s="32" t="n">
        <x:v>1495787</x:v>
      </x:c>
      <x:c r="C33" s="32" t="n">
        <x:f>SUMIFS('報價明細'!$I$6:$I$193,'報價明細'!$B$6:$B$193,"鋼構工程",'報價明細'!$C$6:$C$193,"鋼構二次工程")</x:f>
        <x:v>1495787</x:v>
      </x:c>
      <x:c r="D33" s="32" t="n">
        <x:f>C33-B33</x:f>
        <x:v>0</x:v>
      </x:c>
      <x:c r="E33" s="31" t="str">
        <x:v>鋼構工程／p4</x:v>
      </x:c>
    </x:row>
    <x:row r="34" ht="15" customHeight="1">
      <x:c r="A34" s="31" t="str">
        <x:v>防水工程</x:v>
      </x:c>
      <x:c r="B34" s="32" t="n">
        <x:v>2296743</x:v>
      </x:c>
      <x:c r="C34" s="32" t="n">
        <x:f>SUMIFS('報價明細'!$I$6:$I$193,'報價明細'!$B$6:$B$193,"泥作裝修工程",'報價明細'!$C$6:$C$193,"防水工程")</x:f>
        <x:v>2296743</x:v>
      </x:c>
      <x:c r="D34" s="32" t="n">
        <x:f>C34-B34</x:f>
        <x:v>0</x:v>
      </x:c>
      <x:c r="E34" s="31" t="str">
        <x:v>泥作裝修工程／p4</x:v>
      </x:c>
    </x:row>
    <x:row r="35" ht="15" customHeight="1">
      <x:c r="A35" s="31" t="str">
        <x:v>地坪裝修工程</x:v>
      </x:c>
      <x:c r="B35" s="32" t="n">
        <x:v>9266917</x:v>
      </x:c>
      <x:c r="C35" s="32" t="n">
        <x:f>SUMIFS('報價明細'!$I$6:$I$193,'報價明細'!$B$6:$B$193,"泥作裝修工程",'報價明細'!$C$6:$C$193,"地坪裝修工程")</x:f>
        <x:v>9266917</x:v>
      </x:c>
      <x:c r="D35" s="32" t="n">
        <x:f>C35-B35</x:f>
        <x:v>0</x:v>
      </x:c>
      <x:c r="E35" s="31" t="str">
        <x:v>泥作裝修工程／p5</x:v>
      </x:c>
    </x:row>
    <x:row r="36" ht="15" customHeight="1">
      <x:c r="A36" s="31" t="str">
        <x:v>平頂裝修工程</x:v>
      </x:c>
      <x:c r="B36" s="32" t="n">
        <x:v>735870</x:v>
      </x:c>
      <x:c r="C36" s="32" t="n">
        <x:f>SUMIFS('報價明細'!$I$6:$I$193,'報價明細'!$B$6:$B$193,"泥作裝修工程",'報價明細'!$C$6:$C$193,"平頂裝修工程")</x:f>
        <x:v>735870</x:v>
      </x:c>
      <x:c r="D36" s="32" t="n">
        <x:f>C36-B36</x:f>
        <x:v>0</x:v>
      </x:c>
      <x:c r="E36" s="31" t="str">
        <x:v>泥作裝修工程／p5</x:v>
      </x:c>
    </x:row>
    <x:row r="37" ht="15" customHeight="1">
      <x:c r="A37" s="31" t="str">
        <x:v>內牆裝修工程</x:v>
      </x:c>
      <x:c r="B37" s="32" t="n">
        <x:v>5674734</x:v>
      </x:c>
      <x:c r="C37" s="32" t="n">
        <x:f>SUMIFS('報價明細'!$I$6:$I$193,'報價明細'!$B$6:$B$193,"泥作裝修工程",'報價明細'!$C$6:$C$193,"內牆裝修工程")</x:f>
        <x:v>5674734</x:v>
      </x:c>
      <x:c r="D37" s="32" t="n">
        <x:f>C37-B37</x:f>
        <x:v>0</x:v>
      </x:c>
      <x:c r="E37" s="31" t="str">
        <x:v>泥作裝修工程／p5</x:v>
      </x:c>
    </x:row>
    <x:row r="38" ht="15" customHeight="1">
      <x:c r="A38" s="31" t="str">
        <x:v>外牆裝修工程</x:v>
      </x:c>
      <x:c r="B38" s="32" t="n">
        <x:v>11829917</x:v>
      </x:c>
      <x:c r="C38" s="32" t="n">
        <x:f>SUMIFS('報價明細'!$I$6:$I$193,'報價明細'!$B$6:$B$193,"泥作裝修工程",'報價明細'!$C$6:$C$193,"外牆裝修工程")</x:f>
        <x:v>11829917</x:v>
      </x:c>
      <x:c r="D38" s="32" t="n">
        <x:f>C38-B38</x:f>
        <x:v>0</x:v>
      </x:c>
      <x:c r="E38" s="31" t="str">
        <x:v>泥作裝修工程／p6</x:v>
      </x:c>
    </x:row>
    <x:row r="39" ht="15" customHeight="1">
      <x:c r="A39" s="31"/>
      <x:c r="B39" s="32"/>
      <x:c r="C39" s="32"/>
      <x:c r="D39" s="32"/>
      <x:c r="E39" s="31"/>
    </x:row>
  </x:sheetData>
  <x:conditionalFormatting sqref="D6:D18">
    <x:cfRule type="cellIs" dxfId="1" priority="1" operator="notEqual">
      <x:formula>0</x:formula>
    </x:cfRule>
  </x:conditionalFormatting>
  <x:conditionalFormatting sqref="D32:D39">
    <x:cfRule type="cellIs" dxfId="2" priority="2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3" hidden="0" customWidth="1"/>
    <x:col min="4" max="4" width="12" hidden="0" customWidth="1"/>
    <x:col min="5" max="5" width="66" hidden="0" customWidth="1"/>
    <x:col min="6" max="6" width="10" hidden="0" customWidth="1"/>
    <x:col min="7" max="7" width="15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64" hidden="0" customWidth="1"/>
    <x:col min="13" max="13" width="10" hidden="0" customWidth="1"/>
    <x:col min="14" max="14" width="16" hidden="0" customWidth="1"/>
    <x:col min="15" max="15" width="25" hidden="0" customWidth="1"/>
    <x:col min="16" max="16" width="65" hidden="0" customWidth="1"/>
  </x:cols>
  <x:sheetData>
    <x:row r="2" ht="19.200000762939453" customHeight="1">
      <x:c r="A2" s="1" t="str">
        <x:v>報價明細（新臺幣元）</x:v>
      </x:c>
    </x:row>
    <x:row r="3" ht="15" customHeight="1">
      <x:c r="A3" s="19" t="str">
        <x:v>藍字為原報價數值；空白金額代表未列價。乘算僅供核對，不取代原複價。</x:v>
      </x:c>
    </x:row>
    <x:row r="5" ht="15" customHeight="1">
      <x:c r="A5" s="6" t="str">
        <x:v>資料ID</x:v>
      </x:c>
      <x:c r="B5" s="6" t="str">
        <x:v>原分類</x:v>
      </x:c>
      <x:c r="C5" s="6" t="str">
        <x:v>子分類</x:v>
      </x:c>
      <x:c r="D5" s="6" t="str">
        <x:v>原項次</x:v>
      </x:c>
      <x:c r="E5" s="6" t="str">
        <x:v>工程項目／規格</x:v>
      </x:c>
      <x:c r="F5" s="6" t="str">
        <x:v>單位</x:v>
      </x:c>
      <x:c r="G5" s="6" t="str">
        <x:v>數量</x:v>
      </x:c>
      <x:c r="H5" s="6" t="str">
        <x:v>原單價</x:v>
      </x:c>
      <x:c r="I5" s="6" t="str">
        <x:v>原複價</x:v>
      </x:c>
      <x:c r="J5" s="6" t="str">
        <x:v>數量×單價</x:v>
      </x:c>
      <x:c r="K5" s="6" t="str">
        <x:v>原複價減乘算</x:v>
      </x:c>
      <x:c r="L5" s="6" t="str">
        <x:v>品牌／原備註</x:v>
      </x:c>
      <x:c r="M5" s="6" t="str">
        <x:v>PDF頁</x:v>
      </x:c>
      <x:c r="N5" s="6" t="str">
        <x:v>性質</x:v>
      </x:c>
      <x:c r="O5" s="6" t="str">
        <x:v>統一比較分類</x:v>
      </x:c>
      <x:c r="P5" s="6" t="str">
        <x:v>核對說明</x:v>
      </x:c>
    </x:row>
    <x:row r="6" ht="15" customHeight="1">
      <x:c r="A6" s="9" t="str">
        <x:v>lidong-001</x:v>
      </x:c>
      <x:c r="B6" s="9" t="str">
        <x:v>假設工程</x:v>
      </x:c>
      <x:c r="C6" s="9" t="str"/>
      <x:c r="D6" s="9" t="str">
        <x:v>1</x:v>
      </x:c>
      <x:c r="E6" s="9" t="str">
        <x:v>基地整地</x:v>
      </x:c>
      <x:c r="F6" s="9" t="str">
        <x:v>式</x:v>
      </x:c>
      <x:c r="G6" s="15" t="n">
        <x:v>1</x:v>
      </x:c>
      <x:c r="H6" s="15" t="n">
        <x:v>232800</x:v>
      </x:c>
      <x:c r="I6" s="16" t="n">
        <x:v>232800</x:v>
      </x:c>
      <x:c r="J6" s="13" t="n">
        <x:f>IF(OR(G6="",H6=""),"",ROUND(G6*H6,0))</x:f>
        <x:v>232800</x:v>
      </x:c>
      <x:c r="K6" s="13" t="n">
        <x:f>IF(OR(I6="",J6=""),"",I6-J6)</x:f>
        <x:v>0</x:v>
      </x:c>
      <x:c r="L6" s="9" t="str"/>
      <x:c r="M6" s="9" t="n">
        <x:v>2</x:v>
      </x:c>
      <x:c r="N6" s="9" t="str">
        <x:v>工程明細</x:v>
      </x:c>
      <x:c r="O6" s="9" t="str">
        <x:v>假設工程</x:v>
      </x:c>
      <x:c r="P6" s="9" t="str"/>
    </x:row>
    <x:row r="7" ht="15" customHeight="1">
      <x:c r="A7" s="10" t="str">
        <x:v>lidong-002</x:v>
      </x:c>
      <x:c r="B7" s="10" t="str">
        <x:v>假設工程</x:v>
      </x:c>
      <x:c r="C7" s="10" t="str"/>
      <x:c r="D7" s="10" t="str">
        <x:v>2</x:v>
      </x:c>
      <x:c r="E7" s="10" t="str">
        <x:v>甲種安全圍籬含止水墩</x:v>
      </x:c>
      <x:c r="F7" s="10" t="str">
        <x:v>M</x:v>
      </x:c>
      <x:c r="G7" s="17" t="n">
        <x:v>245</x:v>
      </x:c>
      <x:c r="H7" s="17" t="n">
        <x:v>1100</x:v>
      </x:c>
      <x:c r="I7" s="18" t="n">
        <x:v>269501</x:v>
      </x:c>
      <x:c r="J7" s="14" t="n">
        <x:f>IF(OR(G7="",H7=""),"",ROUND(G7*H7,0))</x:f>
        <x:v>269500</x:v>
      </x:c>
      <x:c r="K7" s="14" t="n">
        <x:f>IF(OR(I7="",J7=""),"",I7-J7)</x:f>
        <x:v>1</x:v>
      </x:c>
      <x:c r="L7" s="10" t="str"/>
      <x:c r="M7" s="10" t="n">
        <x:v>2</x:v>
      </x:c>
      <x:c r="N7" s="10" t="str">
        <x:v>工程明細</x:v>
      </x:c>
      <x:c r="O7" s="10" t="str">
        <x:v>假設工程</x:v>
      </x:c>
      <x:c r="P7" s="10" t="str"/>
    </x:row>
    <x:row r="8" ht="15" customHeight="1">
      <x:c r="A8" s="9" t="str">
        <x:v>lidong-003</x:v>
      </x:c>
      <x:c r="B8" s="9" t="str">
        <x:v>假設工程</x:v>
      </x:c>
      <x:c r="C8" s="9" t="str"/>
      <x:c r="D8" s="9" t="str">
        <x:v>3</x:v>
      </x:c>
      <x:c r="E8" s="9" t="str">
        <x:v>夜間照明及警示設施</x:v>
      </x:c>
      <x:c r="F8" s="9" t="str">
        <x:v>式</x:v>
      </x:c>
      <x:c r="G8" s="15" t="n">
        <x:v>1</x:v>
      </x:c>
      <x:c r="H8" s="15" t="n">
        <x:v>10600</x:v>
      </x:c>
      <x:c r="I8" s="16" t="n">
        <x:v>10600</x:v>
      </x:c>
      <x:c r="J8" s="13" t="n">
        <x:f>IF(OR(G8="",H8=""),"",ROUND(G8*H8,0))</x:f>
        <x:v>10600</x:v>
      </x:c>
      <x:c r="K8" s="13" t="n">
        <x:f>IF(OR(I8="",J8=""),"",I8-J8)</x:f>
        <x:v>0</x:v>
      </x:c>
      <x:c r="L8" s="9" t="str"/>
      <x:c r="M8" s="9" t="n">
        <x:v>2</x:v>
      </x:c>
      <x:c r="N8" s="9" t="str">
        <x:v>工程明細</x:v>
      </x:c>
      <x:c r="O8" s="9" t="str">
        <x:v>假設工程</x:v>
      </x:c>
      <x:c r="P8" s="9" t="str"/>
    </x:row>
    <x:row r="9" ht="15" customHeight="1">
      <x:c r="A9" s="10" t="str">
        <x:v>lidong-004</x:v>
      </x:c>
      <x:c r="B9" s="10" t="str">
        <x:v>假設工程</x:v>
      </x:c>
      <x:c r="C9" s="10" t="str"/>
      <x:c r="D9" s="10" t="str">
        <x:v>4</x:v>
      </x:c>
      <x:c r="E9" s="10" t="str">
        <x:v>臨時工務所設置(含事務所設備費)</x:v>
      </x:c>
      <x:c r="F9" s="10" t="str">
        <x:v>式</x:v>
      </x:c>
      <x:c r="G9" s="17" t="n">
        <x:v>1</x:v>
      </x:c>
      <x:c r="H9" s="17" t="n">
        <x:v>480400</x:v>
      </x:c>
      <x:c r="I9" s="18" t="n">
        <x:v>480400</x:v>
      </x:c>
      <x:c r="J9" s="14" t="n">
        <x:f>IF(OR(G9="",H9=""),"",ROUND(G9*H9,0))</x:f>
        <x:v>480400</x:v>
      </x:c>
      <x:c r="K9" s="14" t="n">
        <x:f>IF(OR(I9="",J9=""),"",I9-J9)</x:f>
        <x:v>0</x:v>
      </x:c>
      <x:c r="L9" s="10" t="str"/>
      <x:c r="M9" s="10" t="n">
        <x:v>2</x:v>
      </x:c>
      <x:c r="N9" s="10" t="str">
        <x:v>工程明細</x:v>
      </x:c>
      <x:c r="O9" s="10" t="str">
        <x:v>假設工程</x:v>
      </x:c>
      <x:c r="P9" s="10" t="str"/>
    </x:row>
    <x:row r="10" ht="15" customHeight="1">
      <x:c r="A10" s="9" t="str">
        <x:v>lidong-005</x:v>
      </x:c>
      <x:c r="B10" s="9" t="str">
        <x:v>假設工程</x:v>
      </x:c>
      <x:c r="C10" s="9" t="str"/>
      <x:c r="D10" s="9" t="str">
        <x:v>5</x:v>
      </x:c>
      <x:c r="E10" s="9" t="str">
        <x:v>施工用臨時水電代辦,供應各樓層工料,自動灑水養護設備及 維護費</x:v>
      </x:c>
      <x:c r="F10" s="9" t="str">
        <x:v>式</x:v>
      </x:c>
      <x:c r="G10" s="15" t="n">
        <x:v>1</x:v>
      </x:c>
      <x:c r="H10" s="15"/>
      <x:c r="I10" s="16"/>
      <x:c r="J10" s="13" t="str">
        <x:f>IF(OR(G10="",H10=""),"",ROUND(G10*H10,0))</x:f>
      </x:c>
      <x:c r="K10" s="13" t="str">
        <x:f>IF(OR(I10="",J10=""),"",I10-J10)</x:f>
      </x:c>
      <x:c r="L10" s="9" t="str">
        <x:v>甲方提供</x:v>
      </x:c>
      <x:c r="M10" s="9" t="n">
        <x:v>2</x:v>
      </x:c>
      <x:c r="N10" s="9" t="str">
        <x:v>工程明細</x:v>
      </x:c>
      <x:c r="O10" s="9" t="str">
        <x:v>假設工程</x:v>
      </x:c>
      <x:c r="P10" s="9" t="str">
        <x:v>原單未列金額；不視為零元或已含。</x:v>
      </x:c>
    </x:row>
    <x:row r="11" ht="15" customHeight="1">
      <x:c r="A11" s="10" t="str">
        <x:v>lidong-006</x:v>
      </x:c>
      <x:c r="B11" s="10" t="str">
        <x:v>假設工程</x:v>
      </x:c>
      <x:c r="C11" s="10" t="str"/>
      <x:c r="D11" s="10" t="str">
        <x:v>6</x:v>
      </x:c>
      <x:c r="E11" s="10" t="str">
        <x:v>工地用臨時水電費用</x:v>
      </x:c>
      <x:c r="F11" s="10" t="str">
        <x:v>式</x:v>
      </x:c>
      <x:c r="G11" s="17" t="n">
        <x:v>1</x:v>
      </x:c>
      <x:c r="H11" s="17" t="n">
        <x:v>102000</x:v>
      </x:c>
      <x:c r="I11" s="18" t="n">
        <x:v>102000</x:v>
      </x:c>
      <x:c r="J11" s="14" t="n">
        <x:f>IF(OR(G11="",H11=""),"",ROUND(G11*H11,0))</x:f>
        <x:v>102000</x:v>
      </x:c>
      <x:c r="K11" s="14" t="n">
        <x:f>IF(OR(I11="",J11=""),"",I11-J11)</x:f>
        <x:v>0</x:v>
      </x:c>
      <x:c r="L11" s="10" t="str"/>
      <x:c r="M11" s="10" t="n">
        <x:v>2</x:v>
      </x:c>
      <x:c r="N11" s="10" t="str">
        <x:v>工程明細</x:v>
      </x:c>
      <x:c r="O11" s="10" t="str">
        <x:v>假設工程</x:v>
      </x:c>
      <x:c r="P11" s="10" t="str"/>
    </x:row>
    <x:row r="12" ht="15" customHeight="1">
      <x:c r="A12" s="9" t="str">
        <x:v>lidong-007</x:v>
      </x:c>
      <x:c r="B12" s="9" t="str">
        <x:v>假設工程</x:v>
      </x:c>
      <x:c r="C12" s="9" t="str"/>
      <x:c r="D12" s="9" t="str">
        <x:v>7</x:v>
      </x:c>
      <x:c r="E12" s="9" t="str">
        <x:v>工地用臨時電話設施及使用費</x:v>
      </x:c>
      <x:c r="F12" s="9" t="str">
        <x:v>式</x:v>
      </x:c>
      <x:c r="G12" s="15" t="n">
        <x:v>1</x:v>
      </x:c>
      <x:c r="H12" s="15" t="n">
        <x:v>111300</x:v>
      </x:c>
      <x:c r="I12" s="16" t="n">
        <x:v>111300</x:v>
      </x:c>
      <x:c r="J12" s="13" t="n">
        <x:f>IF(OR(G12="",H12=""),"",ROUND(G12*H12,0))</x:f>
        <x:v>111300</x:v>
      </x:c>
      <x:c r="K12" s="13" t="n">
        <x:f>IF(OR(I12="",J12=""),"",I12-J12)</x:f>
        <x:v>0</x:v>
      </x:c>
      <x:c r="L12" s="9" t="str"/>
      <x:c r="M12" s="9" t="n">
        <x:v>2</x:v>
      </x:c>
      <x:c r="N12" s="9" t="str">
        <x:v>工程明細</x:v>
      </x:c>
      <x:c r="O12" s="9" t="str">
        <x:v>假設工程</x:v>
      </x:c>
      <x:c r="P12" s="9" t="str"/>
    </x:row>
    <x:row r="13" ht="15" customHeight="1">
      <x:c r="A13" s="10" t="str">
        <x:v>lidong-008</x:v>
      </x:c>
      <x:c r="B13" s="10" t="str">
        <x:v>假設工程</x:v>
      </x:c>
      <x:c r="C13" s="10" t="str"/>
      <x:c r="D13" s="10" t="str">
        <x:v>8</x:v>
      </x:c>
      <x:c r="E13" s="10" t="str">
        <x:v>新建築物廢棄物證明及處理費</x:v>
      </x:c>
      <x:c r="F13" s="10" t="str">
        <x:v>式</x:v>
      </x:c>
      <x:c r="G13" s="17" t="n">
        <x:v>1</x:v>
      </x:c>
      <x:c r="H13" s="17" t="n">
        <x:v>998100</x:v>
      </x:c>
      <x:c r="I13" s="18" t="n">
        <x:v>998100</x:v>
      </x:c>
      <x:c r="J13" s="14" t="n">
        <x:f>IF(OR(G13="",H13=""),"",ROUND(G13*H13,0))</x:f>
        <x:v>998100</x:v>
      </x:c>
      <x:c r="K13" s="14" t="n">
        <x:f>IF(OR(I13="",J13=""),"",I13-J13)</x:f>
        <x:v>0</x:v>
      </x:c>
      <x:c r="L13" s="10" t="str"/>
      <x:c r="M13" s="10" t="n">
        <x:v>2</x:v>
      </x:c>
      <x:c r="N13" s="10" t="str">
        <x:v>工程明細</x:v>
      </x:c>
      <x:c r="O13" s="10" t="str">
        <x:v>假設工程</x:v>
      </x:c>
      <x:c r="P13" s="10" t="str"/>
    </x:row>
    <x:row r="14" ht="15" customHeight="1">
      <x:c r="A14" s="9" t="str">
        <x:v>lidong-009</x:v>
      </x:c>
      <x:c r="B14" s="9" t="str">
        <x:v>假設工程</x:v>
      </x:c>
      <x:c r="C14" s="9" t="str"/>
      <x:c r="D14" s="9" t="str">
        <x:v>9</x:v>
      </x:c>
      <x:c r="E14" s="9" t="str">
        <x:v>活動臨時廁所(含維護及汙水處理)</x:v>
      </x:c>
      <x:c r="F14" s="9" t="str">
        <x:v>座</x:v>
      </x:c>
      <x:c r="G14" s="15" t="n">
        <x:v>4</x:v>
      </x:c>
      <x:c r="H14" s="15" t="n">
        <x:v>20600</x:v>
      </x:c>
      <x:c r="I14" s="16" t="n">
        <x:v>82400</x:v>
      </x:c>
      <x:c r="J14" s="13" t="n">
        <x:f>IF(OR(G14="",H14=""),"",ROUND(G14*H14,0))</x:f>
        <x:v>82400</x:v>
      </x:c>
      <x:c r="K14" s="13" t="n">
        <x:f>IF(OR(I14="",J14=""),"",I14-J14)</x:f>
        <x:v>0</x:v>
      </x:c>
      <x:c r="L14" s="9" t="str"/>
      <x:c r="M14" s="9" t="n">
        <x:v>2</x:v>
      </x:c>
      <x:c r="N14" s="9" t="str">
        <x:v>工程明細</x:v>
      </x:c>
      <x:c r="O14" s="9" t="str">
        <x:v>假設工程</x:v>
      </x:c>
      <x:c r="P14" s="9" t="str"/>
    </x:row>
    <x:row r="15" ht="15" customHeight="1">
      <x:c r="A15" s="10" t="str">
        <x:v>lidong-010</x:v>
      </x:c>
      <x:c r="B15" s="10" t="str">
        <x:v>假設工程</x:v>
      </x:c>
      <x:c r="C15" s="10" t="str"/>
      <x:c r="D15" s="10" t="str">
        <x:v>10</x:v>
      </x:c>
      <x:c r="E15" s="10" t="str">
        <x:v>結構體完成清理運棄</x:v>
      </x:c>
      <x:c r="F15" s="10" t="str">
        <x:v>建坪</x:v>
      </x:c>
      <x:c r="G15" s="17" t="n">
        <x:v>1244.5</x:v>
      </x:c>
      <x:c r="H15" s="17" t="n">
        <x:v>190</x:v>
      </x:c>
      <x:c r="I15" s="18" t="n">
        <x:v>236454</x:v>
      </x:c>
      <x:c r="J15" s="14" t="n">
        <x:f>IF(OR(G15="",H15=""),"",ROUND(G15*H15,0))</x:f>
        <x:v>236455</x:v>
      </x:c>
      <x:c r="K15" s="14" t="n">
        <x:f>IF(OR(I15="",J15=""),"",I15-J15)</x:f>
        <x:v>-1</x:v>
      </x:c>
      <x:c r="L15" s="10" t="str"/>
      <x:c r="M15" s="10" t="n">
        <x:v>2</x:v>
      </x:c>
      <x:c r="N15" s="10" t="str">
        <x:v>工程明細</x:v>
      </x:c>
      <x:c r="O15" s="10" t="str">
        <x:v>假設工程</x:v>
      </x:c>
      <x:c r="P15" s="10" t="str"/>
    </x:row>
    <x:row r="16" ht="15" customHeight="1">
      <x:c r="A16" s="9" t="str">
        <x:v>lidong-011</x:v>
      </x:c>
      <x:c r="B16" s="9" t="str">
        <x:v>假設工程</x:v>
      </x:c>
      <x:c r="C16" s="9" t="str"/>
      <x:c r="D16" s="9" t="str">
        <x:v>11</x:v>
      </x:c>
      <x:c r="E16" s="9" t="str">
        <x:v>交屋清潔費</x:v>
      </x:c>
      <x:c r="F16" s="9" t="str">
        <x:v>建坪</x:v>
      </x:c>
      <x:c r="G16" s="15" t="n">
        <x:v>1244.5</x:v>
      </x:c>
      <x:c r="H16" s="15" t="n">
        <x:v>190</x:v>
      </x:c>
      <x:c r="I16" s="16" t="n">
        <x:v>236454</x:v>
      </x:c>
      <x:c r="J16" s="13" t="n">
        <x:f>IF(OR(G16="",H16=""),"",ROUND(G16*H16,0))</x:f>
        <x:v>236455</x:v>
      </x:c>
      <x:c r="K16" s="13" t="n">
        <x:f>IF(OR(I16="",J16=""),"",I16-J16)</x:f>
        <x:v>-1</x:v>
      </x:c>
      <x:c r="L16" s="9" t="str"/>
      <x:c r="M16" s="9" t="n">
        <x:v>2</x:v>
      </x:c>
      <x:c r="N16" s="9" t="str">
        <x:v>工程明細</x:v>
      </x:c>
      <x:c r="O16" s="9" t="str">
        <x:v>假設工程</x:v>
      </x:c>
      <x:c r="P16" s="9" t="str"/>
    </x:row>
    <x:row r="17" ht="15" customHeight="1">
      <x:c r="A17" s="10" t="str">
        <x:v>lidong-012</x:v>
      </x:c>
      <x:c r="B17" s="10" t="str">
        <x:v>假設工程</x:v>
      </x:c>
      <x:c r="C17" s="10" t="str"/>
      <x:c r="D17" s="10" t="str">
        <x:v>12</x:v>
      </x:c>
      <x:c r="E17" s="10" t="str">
        <x:v>垂直垃圾管道及垃圾堆置清運</x:v>
      </x:c>
      <x:c r="F17" s="10" t="str">
        <x:v>式</x:v>
      </x:c>
      <x:c r="G17" s="17" t="n">
        <x:v>1</x:v>
      </x:c>
      <x:c r="H17" s="17" t="n">
        <x:v>116600</x:v>
      </x:c>
      <x:c r="I17" s="18" t="n">
        <x:v>116600</x:v>
      </x:c>
      <x:c r="J17" s="14" t="n">
        <x:f>IF(OR(G17="",H17=""),"",ROUND(G17*H17,0))</x:f>
        <x:v>116600</x:v>
      </x:c>
      <x:c r="K17" s="14" t="n">
        <x:f>IF(OR(I17="",J17=""),"",I17-J17)</x:f>
        <x:v>0</x:v>
      </x:c>
      <x:c r="L17" s="10" t="str"/>
      <x:c r="M17" s="10" t="n">
        <x:v>2</x:v>
      </x:c>
      <x:c r="N17" s="10" t="str">
        <x:v>工程明細</x:v>
      </x:c>
      <x:c r="O17" s="10" t="str">
        <x:v>假設工程</x:v>
      </x:c>
      <x:c r="P17" s="10" t="str"/>
    </x:row>
    <x:row r="18" ht="15" customHeight="1">
      <x:c r="A18" s="9" t="str">
        <x:v>lidong-013</x:v>
      </x:c>
      <x:c r="B18" s="9" t="str">
        <x:v>假設工程</x:v>
      </x:c>
      <x:c r="C18" s="9" t="str"/>
      <x:c r="D18" s="9" t="str">
        <x:v>13</x:v>
      </x:c>
      <x:c r="E18" s="9" t="str">
        <x:v>洗車台及沖洗設備</x:v>
      </x:c>
      <x:c r="F18" s="9" t="str">
        <x:v>式</x:v>
      </x:c>
      <x:c r="G18" s="15" t="n">
        <x:v>1</x:v>
      </x:c>
      <x:c r="H18" s="15" t="n">
        <x:v>154500</x:v>
      </x:c>
      <x:c r="I18" s="16" t="n">
        <x:v>154500</x:v>
      </x:c>
      <x:c r="J18" s="13" t="n">
        <x:f>IF(OR(G18="",H18=""),"",ROUND(G18*H18,0))</x:f>
        <x:v>154500</x:v>
      </x:c>
      <x:c r="K18" s="13" t="n">
        <x:f>IF(OR(I18="",J18=""),"",I18-J18)</x:f>
        <x:v>0</x:v>
      </x:c>
      <x:c r="L18" s="9" t="str"/>
      <x:c r="M18" s="9" t="n">
        <x:v>2</x:v>
      </x:c>
      <x:c r="N18" s="9" t="str">
        <x:v>工程明細</x:v>
      </x:c>
      <x:c r="O18" s="9" t="str">
        <x:v>假設工程</x:v>
      </x:c>
      <x:c r="P18" s="9" t="str"/>
    </x:row>
    <x:row r="19" ht="15" customHeight="1">
      <x:c r="A19" s="10" t="str">
        <x:v>lidong-014</x:v>
      </x:c>
      <x:c r="B19" s="10" t="str">
        <x:v>假設工程</x:v>
      </x:c>
      <x:c r="C19" s="10" t="str"/>
      <x:c r="D19" s="10" t="str">
        <x:v>14</x:v>
      </x:c>
      <x:c r="E19" s="10" t="str">
        <x:v>週邊環境維護費</x:v>
      </x:c>
      <x:c r="F19" s="10" t="str">
        <x:v>式</x:v>
      </x:c>
      <x:c r="G19" s="17" t="n">
        <x:v>1</x:v>
      </x:c>
      <x:c r="H19" s="17" t="n">
        <x:v>61800</x:v>
      </x:c>
      <x:c r="I19" s="18" t="n">
        <x:v>61800</x:v>
      </x:c>
      <x:c r="J19" s="14" t="n">
        <x:f>IF(OR(G19="",H19=""),"",ROUND(G19*H19,0))</x:f>
        <x:v>61800</x:v>
      </x:c>
      <x:c r="K19" s="14" t="n">
        <x:f>IF(OR(I19="",J19=""),"",I19-J19)</x:f>
        <x:v>0</x:v>
      </x:c>
      <x:c r="L19" s="10" t="str"/>
      <x:c r="M19" s="10" t="n">
        <x:v>2</x:v>
      </x:c>
      <x:c r="N19" s="10" t="str">
        <x:v>工程明細</x:v>
      </x:c>
      <x:c r="O19" s="10" t="str">
        <x:v>假設工程</x:v>
      </x:c>
      <x:c r="P19" s="10" t="str"/>
    </x:row>
    <x:row r="20" ht="15" customHeight="1">
      <x:c r="A20" s="9" t="str">
        <x:v>lidong-015</x:v>
      </x:c>
      <x:c r="B20" s="9" t="str">
        <x:v>假設工程</x:v>
      </x:c>
      <x:c r="C20" s="9" t="str"/>
      <x:c r="D20" s="9" t="str">
        <x:v>15</x:v>
      </x:c>
      <x:c r="E20" s="9" t="str">
        <x:v>既有公共排水溝維護費</x:v>
      </x:c>
      <x:c r="F20" s="9" t="str">
        <x:v>M</x:v>
      </x:c>
      <x:c r="G20" s="15" t="n">
        <x:v>17</x:v>
      </x:c>
      <x:c r="H20" s="15" t="n">
        <x:v>1100</x:v>
      </x:c>
      <x:c r="I20" s="16" t="n">
        <x:v>18700</x:v>
      </x:c>
      <x:c r="J20" s="13" t="n">
        <x:f>IF(OR(G20="",H20=""),"",ROUND(G20*H20,0))</x:f>
        <x:v>18700</x:v>
      </x:c>
      <x:c r="K20" s="13" t="n">
        <x:f>IF(OR(I20="",J20=""),"",I20-J20)</x:f>
        <x:v>0</x:v>
      </x:c>
      <x:c r="L20" s="9" t="str"/>
      <x:c r="M20" s="9" t="n">
        <x:v>2</x:v>
      </x:c>
      <x:c r="N20" s="9" t="str">
        <x:v>工程明細</x:v>
      </x:c>
      <x:c r="O20" s="9" t="str">
        <x:v>假設工程</x:v>
      </x:c>
      <x:c r="P20" s="9" t="str"/>
    </x:row>
    <x:row r="21" ht="15" customHeight="1">
      <x:c r="A21" s="10" t="str">
        <x:v>lidong-016</x:v>
      </x:c>
      <x:c r="B21" s="10" t="str">
        <x:v>假設工程</x:v>
      </x:c>
      <x:c r="C21" s="10" t="str"/>
      <x:c r="D21" s="10" t="str">
        <x:v>16</x:v>
      </x:c>
      <x:c r="E21" s="10" t="str">
        <x:v>雜項費用(含監視設備)</x:v>
      </x:c>
      <x:c r="F21" s="10" t="str">
        <x:v>式</x:v>
      </x:c>
      <x:c r="G21" s="17" t="n">
        <x:v>1</x:v>
      </x:c>
      <x:c r="H21" s="17" t="n">
        <x:v>368700</x:v>
      </x:c>
      <x:c r="I21" s="18" t="n">
        <x:v>368700</x:v>
      </x:c>
      <x:c r="J21" s="14" t="n">
        <x:f>IF(OR(G21="",H21=""),"",ROUND(G21*H21,0))</x:f>
        <x:v>368700</x:v>
      </x:c>
      <x:c r="K21" s="14" t="n">
        <x:f>IF(OR(I21="",J21=""),"",I21-J21)</x:f>
        <x:v>0</x:v>
      </x:c>
      <x:c r="L21" s="10" t="str">
        <x:v>基地周邊監視器</x:v>
      </x:c>
      <x:c r="M21" s="10" t="n">
        <x:v>2</x:v>
      </x:c>
      <x:c r="N21" s="10" t="str">
        <x:v>工程明細</x:v>
      </x:c>
      <x:c r="O21" s="10" t="str">
        <x:v>假設工程</x:v>
      </x:c>
      <x:c r="P21" s="10" t="str"/>
    </x:row>
    <x:row r="22" ht="15" customHeight="1">
      <x:c r="A22" s="9" t="str">
        <x:v>lidong-017</x:v>
      </x:c>
      <x:c r="B22" s="9" t="str">
        <x:v>假設工程</x:v>
      </x:c>
      <x:c r="C22" s="9" t="str"/>
      <x:c r="D22" s="9" t="str">
        <x:v>17</x:v>
      </x:c>
      <x:c r="E22" s="9" t="str">
        <x:v>材料及設備試(檢)驗費.(含鋼筋、混凝土...等依據施工說明書 應送試驗之材料及設備)</x:v>
      </x:c>
      <x:c r="F22" s="9" t="str">
        <x:v>式</x:v>
      </x:c>
      <x:c r="G22" s="15" t="n">
        <x:v>1</x:v>
      </x:c>
      <x:c r="H22" s="15" t="n">
        <x:v>61800</x:v>
      </x:c>
      <x:c r="I22" s="16" t="n">
        <x:v>61800</x:v>
      </x:c>
      <x:c r="J22" s="13" t="n">
        <x:f>IF(OR(G22="",H22=""),"",ROUND(G22*H22,0))</x:f>
        <x:v>61800</x:v>
      </x:c>
      <x:c r="K22" s="13" t="n">
        <x:f>IF(OR(I22="",J22=""),"",I22-J22)</x:f>
        <x:v>0</x:v>
      </x:c>
      <x:c r="L22" s="9" t="str"/>
      <x:c r="M22" s="9" t="n">
        <x:v>2</x:v>
      </x:c>
      <x:c r="N22" s="9" t="str">
        <x:v>工程明細</x:v>
      </x:c>
      <x:c r="O22" s="9" t="str">
        <x:v>假設工程</x:v>
      </x:c>
      <x:c r="P22" s="9" t="str"/>
    </x:row>
    <x:row r="23" ht="15" customHeight="1">
      <x:c r="A23" s="10" t="str">
        <x:v>lidong-018</x:v>
      </x:c>
      <x:c r="B23" s="10" t="str">
        <x:v>假設工程</x:v>
      </x:c>
      <x:c r="C23" s="10" t="str"/>
      <x:c r="D23" s="10" t="str">
        <x:v>18</x:v>
      </x:c>
      <x:c r="E23" s="10" t="str">
        <x:v>勘驗費及完工後使用執照請領</x:v>
      </x:c>
      <x:c r="F23" s="10" t="str">
        <x:v>式</x:v>
      </x:c>
      <x:c r="G23" s="17" t="n">
        <x:v>1</x:v>
      </x:c>
      <x:c r="H23" s="17" t="n">
        <x:v>257500</x:v>
      </x:c>
      <x:c r="I23" s="18" t="n">
        <x:v>257500</x:v>
      </x:c>
      <x:c r="J23" s="14" t="n">
        <x:f>IF(OR(G23="",H23=""),"",ROUND(G23*H23,0))</x:f>
        <x:v>257500</x:v>
      </x:c>
      <x:c r="K23" s="14" t="n">
        <x:f>IF(OR(I23="",J23=""),"",I23-J23)</x:f>
        <x:v>0</x:v>
      </x:c>
      <x:c r="L23" s="10" t="str">
        <x:v>技師勘驗</x:v>
      </x:c>
      <x:c r="M23" s="10" t="n">
        <x:v>2</x:v>
      </x:c>
      <x:c r="N23" s="10" t="str">
        <x:v>工程明細</x:v>
      </x:c>
      <x:c r="O23" s="10" t="str">
        <x:v>假設工程</x:v>
      </x:c>
      <x:c r="P23" s="10" t="str"/>
    </x:row>
    <x:row r="24" ht="15" customHeight="1">
      <x:c r="A24" s="9" t="str">
        <x:v>lidong-019</x:v>
      </x:c>
      <x:c r="B24" s="9" t="str">
        <x:v>結構體工程</x:v>
      </x:c>
      <x:c r="C24" s="9" t="str"/>
      <x:c r="D24" s="9" t="str">
        <x:v>1</x:v>
      </x:c>
      <x:c r="E24" s="9" t="str">
        <x:v>放樣</x:v>
      </x:c>
      <x:c r="F24" s="9" t="str">
        <x:v>M2</x:v>
      </x:c>
      <x:c r="G24" s="15" t="n">
        <x:v>4114.04</x:v>
      </x:c>
      <x:c r="H24" s="15" t="n">
        <x:v>90</x:v>
      </x:c>
      <x:c r="I24" s="16" t="n">
        <x:v>370264</x:v>
      </x:c>
      <x:c r="J24" s="13" t="n">
        <x:f>IF(OR(G24="",H24=""),"",ROUND(G24*H24,0))</x:f>
        <x:v>370264</x:v>
      </x:c>
      <x:c r="K24" s="13" t="n">
        <x:f>IF(OR(I24="",J24=""),"",I24-J24)</x:f>
        <x:v>0</x:v>
      </x:c>
      <x:c r="L24" s="9" t="str"/>
      <x:c r="M24" s="9" t="n">
        <x:v>2</x:v>
      </x:c>
      <x:c r="N24" s="9" t="str">
        <x:v>工程明細</x:v>
      </x:c>
      <x:c r="O24" s="9" t="str">
        <x:v>土方及結構工程</x:v>
      </x:c>
      <x:c r="P24" s="9" t="str"/>
    </x:row>
    <x:row r="25" ht="15" customHeight="1">
      <x:c r="A25" s="10" t="str">
        <x:v>lidong-020</x:v>
      </x:c>
      <x:c r="B25" s="10" t="str">
        <x:v>結構體工程</x:v>
      </x:c>
      <x:c r="C25" s="10" t="str"/>
      <x:c r="D25" s="10" t="str">
        <x:v>2</x:v>
      </x:c>
      <x:c r="E25" s="10" t="str">
        <x:v>挖土方</x:v>
      </x:c>
      <x:c r="F25" s="10" t="str">
        <x:v>M3</x:v>
      </x:c>
      <x:c r="G25" s="17" t="n">
        <x:v>1969</x:v>
      </x:c>
      <x:c r="H25" s="17" t="n">
        <x:v>270</x:v>
      </x:c>
      <x:c r="I25" s="18" t="n">
        <x:v>531630</x:v>
      </x:c>
      <x:c r="J25" s="14" t="n">
        <x:f>IF(OR(G25="",H25=""),"",ROUND(G25*H25,0))</x:f>
        <x:v>531630</x:v>
      </x:c>
      <x:c r="K25" s="14" t="n">
        <x:f>IF(OR(I25="",J25=""),"",I25-J25)</x:f>
        <x:v>0</x:v>
      </x:c>
      <x:c r="L25" s="10" t="str"/>
      <x:c r="M25" s="10" t="n">
        <x:v>2</x:v>
      </x:c>
      <x:c r="N25" s="10" t="str">
        <x:v>工程明細</x:v>
      </x:c>
      <x:c r="O25" s="10" t="str">
        <x:v>土方及結構工程</x:v>
      </x:c>
      <x:c r="P25" s="10" t="str"/>
    </x:row>
    <x:row r="26" ht="15" customHeight="1">
      <x:c r="A26" s="9" t="str">
        <x:v>lidong-021</x:v>
      </x:c>
      <x:c r="B26" s="9" t="str">
        <x:v>結構體工程</x:v>
      </x:c>
      <x:c r="C26" s="9" t="str"/>
      <x:c r="D26" s="9" t="str">
        <x:v>3</x:v>
      </x:c>
      <x:c r="E26" s="9" t="str">
        <x:v>回填土方夯實</x:v>
      </x:c>
      <x:c r="F26" s="9" t="str">
        <x:v>M3</x:v>
      </x:c>
      <x:c r="G26" s="15" t="n">
        <x:v>1819</x:v>
      </x:c>
      <x:c r="H26" s="15" t="n">
        <x:v>340</x:v>
      </x:c>
      <x:c r="I26" s="16" t="n">
        <x:v>618460</x:v>
      </x:c>
      <x:c r="J26" s="13" t="n">
        <x:f>IF(OR(G26="",H26=""),"",ROUND(G26*H26,0))</x:f>
        <x:v>618460</x:v>
      </x:c>
      <x:c r="K26" s="13" t="n">
        <x:f>IF(OR(I26="",J26=""),"",I26-J26)</x:f>
        <x:v>0</x:v>
      </x:c>
      <x:c r="L26" s="9" t="str"/>
      <x:c r="M26" s="9" t="n">
        <x:v>2</x:v>
      </x:c>
      <x:c r="N26" s="9" t="str">
        <x:v>工程明細</x:v>
      </x:c>
      <x:c r="O26" s="9" t="str">
        <x:v>土方及結構工程</x:v>
      </x:c>
      <x:c r="P26" s="9" t="str"/>
    </x:row>
    <x:row r="27" ht="15" customHeight="1">
      <x:c r="A27" s="10" t="str">
        <x:v>lidong-022</x:v>
      </x:c>
      <x:c r="B27" s="10" t="str">
        <x:v>結構體工程</x:v>
      </x:c>
      <x:c r="C27" s="10" t="str"/>
      <x:c r="D27" s="10" t="str">
        <x:v>4</x:v>
      </x:c>
      <x:c r="E27" s="10" t="str">
        <x:v>運棄土方 (含證明費)</x:v>
      </x:c>
      <x:c r="F27" s="10" t="str">
        <x:v>M3</x:v>
      </x:c>
      <x:c r="G27" s="17" t="n">
        <x:v>150</x:v>
      </x:c>
      <x:c r="H27" s="17" t="n">
        <x:v>2100</x:v>
      </x:c>
      <x:c r="I27" s="18" t="n">
        <x:v>315000</x:v>
      </x:c>
      <x:c r="J27" s="14" t="n">
        <x:f>IF(OR(G27="",H27=""),"",ROUND(G27*H27,0))</x:f>
        <x:v>315000</x:v>
      </x:c>
      <x:c r="K27" s="14" t="n">
        <x:f>IF(OR(I27="",J27=""),"",I27-J27)</x:f>
        <x:v>0</x:v>
      </x:c>
      <x:c r="L27" s="10" t="str"/>
      <x:c r="M27" s="10" t="n">
        <x:v>2</x:v>
      </x:c>
      <x:c r="N27" s="10" t="str">
        <x:v>工程明細</x:v>
      </x:c>
      <x:c r="O27" s="10" t="str">
        <x:v>土方及結構工程</x:v>
      </x:c>
      <x:c r="P27" s="10" t="str"/>
    </x:row>
    <x:row r="28" ht="15" customHeight="1">
      <x:c r="A28" s="9" t="str">
        <x:v>lidong-023</x:v>
      </x:c>
      <x:c r="B28" s="9" t="str">
        <x:v>結構體工程</x:v>
      </x:c>
      <x:c r="C28" s="9" t="str"/>
      <x:c r="D28" s="9" t="str">
        <x:v>5</x:v>
      </x:c>
      <x:c r="E28" s="9" t="str">
        <x:v>普通模板含組立及拆模</x:v>
      </x:c>
      <x:c r="F28" s="9" t="str">
        <x:v>M2</x:v>
      </x:c>
      <x:c r="G28" s="15" t="n">
        <x:v>12412</x:v>
      </x:c>
      <x:c r="H28" s="15" t="n">
        <x:v>1170</x:v>
      </x:c>
      <x:c r="I28" s="16" t="n">
        <x:v>14522040</x:v>
      </x:c>
      <x:c r="J28" s="13" t="n">
        <x:f>IF(OR(G28="",H28=""),"",ROUND(G28*H28,0))</x:f>
        <x:v>14522040</x:v>
      </x:c>
      <x:c r="K28" s="13" t="n">
        <x:f>IF(OR(I28="",J28=""),"",I28-J28)</x:f>
        <x:v>0</x:v>
      </x:c>
      <x:c r="L28" s="9" t="str"/>
      <x:c r="M28" s="9" t="n">
        <x:v>2</x:v>
      </x:c>
      <x:c r="N28" s="9" t="str">
        <x:v>工程明細</x:v>
      </x:c>
      <x:c r="O28" s="9" t="str">
        <x:v>土方及結構工程</x:v>
      </x:c>
      <x:c r="P28" s="9" t="str"/>
    </x:row>
    <x:row r="29" ht="15" customHeight="1">
      <x:c r="A29" s="10" t="str">
        <x:v>lidong-024</x:v>
      </x:c>
      <x:c r="B29" s="10" t="str">
        <x:v>結構體工程</x:v>
      </x:c>
      <x:c r="C29" s="10" t="str"/>
      <x:c r="D29" s="10" t="str">
        <x:v>6</x:v>
      </x:c>
      <x:c r="E29" s="10" t="str">
        <x:v>中拉力鋼筋及彎紮組立(SD280)</x:v>
      </x:c>
      <x:c r="F29" s="10" t="str">
        <x:v>噸</x:v>
      </x:c>
      <x:c r="G29" s="17" t="n">
        <x:v>88.76</x:v>
      </x:c>
      <x:c r="H29" s="17" t="n">
        <x:v>28300</x:v>
      </x:c>
      <x:c r="I29" s="18" t="n">
        <x:v>2511908</x:v>
      </x:c>
      <x:c r="J29" s="14" t="n">
        <x:f>IF(OR(G29="",H29=""),"",ROUND(G29*H29,0))</x:f>
        <x:v>2511908</x:v>
      </x:c>
      <x:c r="K29" s="14" t="n">
        <x:f>IF(OR(I29="",J29=""),"",I29-J29)</x:f>
        <x:v>0</x:v>
      </x:c>
      <x:c r="L29" s="10" t="str"/>
      <x:c r="M29" s="10" t="n">
        <x:v>2</x:v>
      </x:c>
      <x:c r="N29" s="10" t="str">
        <x:v>工程明細</x:v>
      </x:c>
      <x:c r="O29" s="10" t="str">
        <x:v>土方及結構工程</x:v>
      </x:c>
      <x:c r="P29" s="10" t="str"/>
    </x:row>
    <x:row r="30" ht="15" customHeight="1">
      <x:c r="A30" s="9" t="str">
        <x:v>lidong-025</x:v>
      </x:c>
      <x:c r="B30" s="9" t="str">
        <x:v>結構體工程</x:v>
      </x:c>
      <x:c r="C30" s="9" t="str"/>
      <x:c r="D30" s="9" t="str">
        <x:v>7</x:v>
      </x:c>
      <x:c r="E30" s="9" t="str">
        <x:v>高拉力鋼筋及彎紮組立(SD420)</x:v>
      </x:c>
      <x:c r="F30" s="9" t="str">
        <x:v>噸</x:v>
      </x:c>
      <x:c r="G30" s="15" t="n">
        <x:v>209.07</x:v>
      </x:c>
      <x:c r="H30" s="15" t="n">
        <x:v>29200</x:v>
      </x:c>
      <x:c r="I30" s="16" t="n">
        <x:v>6104844</x:v>
      </x:c>
      <x:c r="J30" s="13" t="n">
        <x:f>IF(OR(G30="",H30=""),"",ROUND(G30*H30,0))</x:f>
        <x:v>6104844</x:v>
      </x:c>
      <x:c r="K30" s="13" t="n">
        <x:f>IF(OR(I30="",J30=""),"",I30-J30)</x:f>
        <x:v>0</x:v>
      </x:c>
      <x:c r="L30" s="9" t="str"/>
      <x:c r="M30" s="9" t="n">
        <x:v>2</x:v>
      </x:c>
      <x:c r="N30" s="9" t="str">
        <x:v>工程明細</x:v>
      </x:c>
      <x:c r="O30" s="9" t="str">
        <x:v>土方及結構工程</x:v>
      </x:c>
      <x:c r="P30" s="9" t="str"/>
    </x:row>
    <x:row r="31" ht="15" customHeight="1">
      <x:c r="A31" s="10" t="str">
        <x:v>lidong-026</x:v>
      </x:c>
      <x:c r="B31" s="10" t="str">
        <x:v>結構體工程</x:v>
      </x:c>
      <x:c r="C31" s="10" t="str"/>
      <x:c r="D31" s="10" t="str">
        <x:v>8</x:v>
      </x:c>
      <x:c r="E31" s="10" t="str">
        <x:v>2000 PSI預拌混凝土含澆置</x:v>
      </x:c>
      <x:c r="F31" s="10" t="str">
        <x:v>M3</x:v>
      </x:c>
      <x:c r="G31" s="17" t="n">
        <x:v>93</x:v>
      </x:c>
      <x:c r="H31" s="17" t="n">
        <x:v>2870</x:v>
      </x:c>
      <x:c r="I31" s="18" t="n">
        <x:v>266910</x:v>
      </x:c>
      <x:c r="J31" s="14" t="n">
        <x:f>IF(OR(G31="",H31=""),"",ROUND(G31*H31,0))</x:f>
        <x:v>266910</x:v>
      </x:c>
      <x:c r="K31" s="14" t="n">
        <x:f>IF(OR(I31="",J31=""),"",I31-J31)</x:f>
        <x:v>0</x:v>
      </x:c>
      <x:c r="L31" s="10" t="str">
        <x:v>混凝土：亞東、巨力 …等同等品牌</x:v>
      </x:c>
      <x:c r="M31" s="10" t="n">
        <x:v>2</x:v>
      </x:c>
      <x:c r="N31" s="10" t="str">
        <x:v>工程明細</x:v>
      </x:c>
      <x:c r="O31" s="10" t="str">
        <x:v>土方及結構工程</x:v>
      </x:c>
      <x:c r="P31" s="10" t="str"/>
    </x:row>
    <x:row r="32" ht="15" customHeight="1">
      <x:c r="A32" s="9" t="str">
        <x:v>lidong-027</x:v>
      </x:c>
      <x:c r="B32" s="9" t="str">
        <x:v>結構體工程</x:v>
      </x:c>
      <x:c r="C32" s="9" t="str"/>
      <x:c r="D32" s="9" t="str">
        <x:v>9</x:v>
      </x:c>
      <x:c r="E32" s="9" t="str">
        <x:v>4000 PSI預拌混凝土含澆置</x:v>
      </x:c>
      <x:c r="F32" s="9" t="str">
        <x:v>M3</x:v>
      </x:c>
      <x:c r="G32" s="15" t="n">
        <x:v>2568</x:v>
      </x:c>
      <x:c r="H32" s="15" t="n">
        <x:v>3210</x:v>
      </x:c>
      <x:c r="I32" s="16" t="n">
        <x:v>8243290</x:v>
      </x:c>
      <x:c r="J32" s="13" t="n">
        <x:f>IF(OR(G32="",H32=""),"",ROUND(G32*H32,0))</x:f>
        <x:v>8243280</x:v>
      </x:c>
      <x:c r="K32" s="13" t="n">
        <x:f>IF(OR(I32="",J32=""),"",I32-J32)</x:f>
        <x:v>10</x:v>
      </x:c>
      <x:c r="L32" s="9" t="str">
        <x:v>混凝土：亞東、巨力 …等同等品牌</x:v>
      </x:c>
      <x:c r="M32" s="9" t="n">
        <x:v>3</x:v>
      </x:c>
      <x:c r="N32" s="9" t="str">
        <x:v>工程明細</x:v>
      </x:c>
      <x:c r="O32" s="9" t="str">
        <x:v>土方及結構工程</x:v>
      </x:c>
      <x:c r="P32" s="9" t="str">
        <x:v>原複價與四捨五入乘算差額 10 元；保留原值，請確認底層精度。</x:v>
      </x:c>
    </x:row>
    <x:row r="33" ht="15" customHeight="1">
      <x:c r="A33" s="10" t="str">
        <x:v>lidong-028</x:v>
      </x:c>
      <x:c r="B33" s="10" t="str">
        <x:v>結構體工程</x:v>
      </x:c>
      <x:c r="C33" s="10" t="str"/>
      <x:c r="D33" s="10" t="str">
        <x:v>10</x:v>
      </x:c>
      <x:c r="E33" s="10" t="str">
        <x:v>外部鍍鋅鋼管鷹架及防護網</x:v>
      </x:c>
      <x:c r="F33" s="10" t="str">
        <x:v>M2</x:v>
      </x:c>
      <x:c r="G33" s="17" t="n">
        <x:v>3453</x:v>
      </x:c>
      <x:c r="H33" s="17" t="n">
        <x:v>500</x:v>
      </x:c>
      <x:c r="I33" s="18" t="n">
        <x:v>1726500</x:v>
      </x:c>
      <x:c r="J33" s="14" t="n">
        <x:f>IF(OR(G33="",H33=""),"",ROUND(G33*H33,0))</x:f>
        <x:v>1726500</x:v>
      </x:c>
      <x:c r="K33" s="14" t="n">
        <x:f>IF(OR(I33="",J33=""),"",I33-J33)</x:f>
        <x:v>0</x:v>
      </x:c>
      <x:c r="L33" s="10" t="str"/>
      <x:c r="M33" s="10" t="n">
        <x:v>3</x:v>
      </x:c>
      <x:c r="N33" s="10" t="str">
        <x:v>工程明細</x:v>
      </x:c>
      <x:c r="O33" s="10" t="str">
        <x:v>土方及結構工程</x:v>
      </x:c>
      <x:c r="P33" s="10" t="str"/>
    </x:row>
    <x:row r="34" ht="15" customHeight="1">
      <x:c r="A34" s="9" t="str">
        <x:v>lidong-029</x:v>
      </x:c>
      <x:c r="B34" s="9" t="str">
        <x:v>結構體工程</x:v>
      </x:c>
      <x:c r="C34" s="9" t="str"/>
      <x:c r="D34" s="9" t="str">
        <x:v>11</x:v>
      </x:c>
      <x:c r="E34" s="9" t="str">
        <x:v>電梯間內部搭鋼管施工架</x:v>
      </x:c>
      <x:c r="F34" s="9" t="str">
        <x:v>座</x:v>
      </x:c>
      <x:c r="G34" s="15" t="n">
        <x:v>2</x:v>
      </x:c>
      <x:c r="H34" s="15" t="n">
        <x:v>20600</x:v>
      </x:c>
      <x:c r="I34" s="16" t="n">
        <x:v>41200</x:v>
      </x:c>
      <x:c r="J34" s="13" t="n">
        <x:f>IF(OR(G34="",H34=""),"",ROUND(G34*H34,0))</x:f>
        <x:v>41200</x:v>
      </x:c>
      <x:c r="K34" s="13" t="n">
        <x:f>IF(OR(I34="",J34=""),"",I34-J34)</x:f>
        <x:v>0</x:v>
      </x:c>
      <x:c r="L34" s="9" t="str"/>
      <x:c r="M34" s="9" t="n">
        <x:v>3</x:v>
      </x:c>
      <x:c r="N34" s="9" t="str">
        <x:v>工程明細</x:v>
      </x:c>
      <x:c r="O34" s="9" t="str">
        <x:v>土方及結構工程</x:v>
      </x:c>
      <x:c r="P34" s="9" t="str"/>
    </x:row>
    <x:row r="35" ht="15" customHeight="1">
      <x:c r="A35" s="10" t="str">
        <x:v>lidong-030</x:v>
      </x:c>
      <x:c r="B35" s="10" t="str">
        <x:v>結構體工程</x:v>
      </x:c>
      <x:c r="C35" s="10" t="str"/>
      <x:c r="D35" s="10" t="str">
        <x:v>12</x:v>
      </x:c>
      <x:c r="E35" s="10" t="str">
        <x:v>內部施工架, 高於4m, 計算立面高</x:v>
      </x:c>
      <x:c r="F35" s="10" t="str">
        <x:v>M2</x:v>
      </x:c>
      <x:c r="G35" s="17" t="n">
        <x:v>5772</x:v>
      </x:c>
      <x:c r="H35" s="17" t="n">
        <x:v>370</x:v>
      </x:c>
      <x:c r="I35" s="18" t="n">
        <x:v>2135640</x:v>
      </x:c>
      <x:c r="J35" s="14" t="n">
        <x:f>IF(OR(G35="",H35=""),"",ROUND(G35*H35,0))</x:f>
        <x:v>2135640</x:v>
      </x:c>
      <x:c r="K35" s="14" t="n">
        <x:f>IF(OR(I35="",J35=""),"",I35-J35)</x:f>
        <x:v>0</x:v>
      </x:c>
      <x:c r="L35" s="10" t="str"/>
      <x:c r="M35" s="10" t="n">
        <x:v>3</x:v>
      </x:c>
      <x:c r="N35" s="10" t="str">
        <x:v>工程明細</x:v>
      </x:c>
      <x:c r="O35" s="10" t="str">
        <x:v>土方及結構工程</x:v>
      </x:c>
      <x:c r="P35" s="10" t="str"/>
    </x:row>
    <x:row r="36" ht="15" customHeight="1">
      <x:c r="A36" s="9" t="str">
        <x:v>lidong-031</x:v>
      </x:c>
      <x:c r="B36" s="9" t="str">
        <x:v>鋼構工程</x:v>
      </x:c>
      <x:c r="C36" s="9" t="str">
        <x:v>鋼構一次工程</x:v>
      </x:c>
      <x:c r="D36" s="9" t="str">
        <x:v>1</x:v>
      </x:c>
      <x:c r="E36" s="9" t="str">
        <x:v>放樣、Ø 22＊1150 基礎螺栓組</x:v>
      </x:c>
      <x:c r="F36" s="9" t="str">
        <x:v>組</x:v>
      </x:c>
      <x:c r="G36" s="15" t="n">
        <x:v>404</x:v>
      </x:c>
      <x:c r="H36" s="15" t="n">
        <x:v>1030</x:v>
      </x:c>
      <x:c r="I36" s="16" t="n">
        <x:v>416120</x:v>
      </x:c>
      <x:c r="J36" s="13" t="n">
        <x:f>IF(OR(G36="",H36=""),"",ROUND(G36*H36,0))</x:f>
        <x:v>416120</x:v>
      </x:c>
      <x:c r="K36" s="13" t="n">
        <x:f>IF(OR(I36="",J36=""),"",I36-J36)</x:f>
        <x:v>0</x:v>
      </x:c>
      <x:c r="L36" s="9" t="str"/>
      <x:c r="M36" s="9" t="n">
        <x:v>3</x:v>
      </x:c>
      <x:c r="N36" s="9" t="str">
        <x:v>工程明細</x:v>
      </x:c>
      <x:c r="O36" s="9" t="str">
        <x:v>鋼構工程</x:v>
      </x:c>
      <x:c r="P36" s="9" t="str"/>
    </x:row>
    <x:row r="37" ht="15" customHeight="1">
      <x:c r="A37" s="10" t="str">
        <x:v>lidong-032</x:v>
      </x:c>
      <x:c r="B37" s="10" t="str">
        <x:v>鋼構工程</x:v>
      </x:c>
      <x:c r="C37" s="10" t="str">
        <x:v>鋼構一次工程</x:v>
      </x:c>
      <x:c r="D37" s="10" t="str">
        <x:v>2</x:v>
      </x:c>
      <x:c r="E37" s="10" t="str">
        <x:v>SN490YB H型鋼：400＊400＊13＊21 + 2PL21</x:v>
      </x:c>
      <x:c r="F37" s="10" t="str">
        <x:v>KG</x:v>
      </x:c>
      <x:c r="G37" s="17" t="n">
        <x:v>137605.1</x:v>
      </x:c>
      <x:c r="H37" s="17" t="n">
        <x:v>33.5</x:v>
      </x:c>
      <x:c r="I37" s="18" t="n">
        <x:v>4609771</x:v>
      </x:c>
      <x:c r="J37" s="14" t="n">
        <x:f>IF(OR(G37="",H37=""),"",ROUND(G37*H37,0))</x:f>
        <x:v>4609771</x:v>
      </x:c>
      <x:c r="K37" s="14" t="n">
        <x:f>IF(OR(I37="",J37=""),"",I37-J37)</x:f>
        <x:v>0</x:v>
      </x:c>
      <x:c r="L37" s="10" t="str"/>
      <x:c r="M37" s="10" t="n">
        <x:v>3</x:v>
      </x:c>
      <x:c r="N37" s="10" t="str">
        <x:v>工程明細</x:v>
      </x:c>
      <x:c r="O37" s="10" t="str">
        <x:v>鋼構工程</x:v>
      </x:c>
      <x:c r="P37" s="10" t="str"/>
    </x:row>
    <x:row r="38" ht="15" customHeight="1">
      <x:c r="A38" s="9" t="str">
        <x:v>lidong-033</x:v>
      </x:c>
      <x:c r="B38" s="9" t="str">
        <x:v>鋼構工程</x:v>
      </x:c>
      <x:c r="C38" s="9" t="str">
        <x:v>鋼構一次工程</x:v>
      </x:c>
      <x:c r="D38" s="9" t="str">
        <x:v>3</x:v>
      </x:c>
      <x:c r="E38" s="9" t="str">
        <x:v>SN490YB H型鋼：400＊400＊13＊21</x:v>
      </x:c>
      <x:c r="F38" s="9" t="str">
        <x:v>KG</x:v>
      </x:c>
      <x:c r="G38" s="15" t="n">
        <x:v>860</x:v>
      </x:c>
      <x:c r="H38" s="15" t="n">
        <x:v>31</x:v>
      </x:c>
      <x:c r="I38" s="16" t="n">
        <x:v>26660</x:v>
      </x:c>
      <x:c r="J38" s="13" t="n">
        <x:f>IF(OR(G38="",H38=""),"",ROUND(G38*H38,0))</x:f>
        <x:v>26660</x:v>
      </x:c>
      <x:c r="K38" s="13" t="n">
        <x:f>IF(OR(I38="",J38=""),"",I38-J38)</x:f>
        <x:v>0</x:v>
      </x:c>
      <x:c r="L38" s="9" t="str"/>
      <x:c r="M38" s="9" t="n">
        <x:v>3</x:v>
      </x:c>
      <x:c r="N38" s="9" t="str">
        <x:v>工程明細</x:v>
      </x:c>
      <x:c r="O38" s="9" t="str">
        <x:v>鋼構工程</x:v>
      </x:c>
      <x:c r="P38" s="9" t="str"/>
    </x:row>
    <x:row r="39" ht="15" customHeight="1">
      <x:c r="A39" s="10" t="str">
        <x:v>lidong-034</x:v>
      </x:c>
      <x:c r="B39" s="10" t="str">
        <x:v>鋼構工程</x:v>
      </x:c>
      <x:c r="C39" s="10" t="str">
        <x:v>鋼構一次工程</x:v>
      </x:c>
      <x:c r="D39" s="10" t="str">
        <x:v>4</x:v>
      </x:c>
      <x:c r="E39" s="10" t="str">
        <x:v>SN490YB H型鋼：其他規格</x:v>
      </x:c>
      <x:c r="F39" s="10" t="str">
        <x:v>KG</x:v>
      </x:c>
      <x:c r="G39" s="17" t="n">
        <x:v>268298.9</x:v>
      </x:c>
      <x:c r="H39" s="17" t="n">
        <x:v>30.8</x:v>
      </x:c>
      <x:c r="I39" s="18" t="n">
        <x:v>8263606</x:v>
      </x:c>
      <x:c r="J39" s="14" t="n">
        <x:f>IF(OR(G39="",H39=""),"",ROUND(G39*H39,0))</x:f>
        <x:v>8263606</x:v>
      </x:c>
      <x:c r="K39" s="14" t="n">
        <x:f>IF(OR(I39="",J39=""),"",I39-J39)</x:f>
        <x:v>0</x:v>
      </x:c>
      <x:c r="L39" s="10" t="str"/>
      <x:c r="M39" s="10" t="n">
        <x:v>3</x:v>
      </x:c>
      <x:c r="N39" s="10" t="str">
        <x:v>工程明細</x:v>
      </x:c>
      <x:c r="O39" s="10" t="str">
        <x:v>鋼構工程</x:v>
      </x:c>
      <x:c r="P39" s="10" t="str"/>
    </x:row>
    <x:row r="40" ht="15" customHeight="1">
      <x:c r="A40" s="9" t="str">
        <x:v>lidong-035</x:v>
      </x:c>
      <x:c r="B40" s="9" t="str">
        <x:v>鋼構工程</x:v>
      </x:c>
      <x:c r="C40" s="9" t="str">
        <x:v>鋼構一次工程</x:v>
      </x:c>
      <x:c r="D40" s="9" t="str">
        <x:v>5</x:v>
      </x:c>
      <x:c r="E40" s="9" t="str">
        <x:v>SN400B 基承板、接合板、加勁板</x:v>
      </x:c>
      <x:c r="F40" s="9" t="str">
        <x:v>KG</x:v>
      </x:c>
      <x:c r="G40" s="15" t="n">
        <x:v>40676.4</x:v>
      </x:c>
      <x:c r="H40" s="15" t="n">
        <x:v>41</x:v>
      </x:c>
      <x:c r="I40" s="16" t="n">
        <x:v>1667732</x:v>
      </x:c>
      <x:c r="J40" s="13" t="n">
        <x:f>IF(OR(G40="",H40=""),"",ROUND(G40*H40,0))</x:f>
        <x:v>1667732</x:v>
      </x:c>
      <x:c r="K40" s="13" t="n">
        <x:f>IF(OR(I40="",J40=""),"",I40-J40)</x:f>
        <x:v>0</x:v>
      </x:c>
      <x:c r="L40" s="9" t="str"/>
      <x:c r="M40" s="9" t="n">
        <x:v>3</x:v>
      </x:c>
      <x:c r="N40" s="9" t="str">
        <x:v>工程明細</x:v>
      </x:c>
      <x:c r="O40" s="9" t="str">
        <x:v>鋼構工程</x:v>
      </x:c>
      <x:c r="P40" s="9" t="str"/>
    </x:row>
    <x:row r="41" ht="15" customHeight="1">
      <x:c r="A41" s="10" t="str">
        <x:v>lidong-036</x:v>
      </x:c>
      <x:c r="B41" s="10" t="str">
        <x:v>鋼構工程</x:v>
      </x:c>
      <x:c r="C41" s="10" t="str">
        <x:v>鋼構一次工程</x:v>
      </x:c>
      <x:c r="D41" s="10" t="str">
        <x:v>6</x:v>
      </x:c>
      <x:c r="E41" s="10" t="str">
        <x:v>A36 鋼梯</x:v>
      </x:c>
      <x:c r="F41" s="10" t="str">
        <x:v>KG</x:v>
      </x:c>
      <x:c r="G41" s="17" t="n">
        <x:v>12910.7</x:v>
      </x:c>
      <x:c r="H41" s="17" t="n">
        <x:v>46</x:v>
      </x:c>
      <x:c r="I41" s="18" t="n">
        <x:v>593892</x:v>
      </x:c>
      <x:c r="J41" s="14" t="n">
        <x:f>IF(OR(G41="",H41=""),"",ROUND(G41*H41,0))</x:f>
        <x:v>593892</x:v>
      </x:c>
      <x:c r="K41" s="14" t="n">
        <x:f>IF(OR(I41="",J41=""),"",I41-J41)</x:f>
        <x:v>0</x:v>
      </x:c>
      <x:c r="L41" s="10" t="str"/>
      <x:c r="M41" s="10" t="n">
        <x:v>3</x:v>
      </x:c>
      <x:c r="N41" s="10" t="str">
        <x:v>工程明細</x:v>
      </x:c>
      <x:c r="O41" s="10" t="str">
        <x:v>鋼構工程</x:v>
      </x:c>
      <x:c r="P41" s="10" t="str"/>
    </x:row>
    <x:row r="42" ht="15" customHeight="1">
      <x:c r="A42" s="9" t="str">
        <x:v>lidong-037</x:v>
      </x:c>
      <x:c r="B42" s="9" t="str">
        <x:v>鋼構工程</x:v>
      </x:c>
      <x:c r="C42" s="9" t="str">
        <x:v>鋼構一次工程</x:v>
      </x:c>
      <x:c r="D42" s="9" t="str">
        <x:v>7</x:v>
      </x:c>
      <x:c r="E42" s="9" t="str">
        <x:v>噴砂、磷酸鋅底漆</x:v>
      </x:c>
      <x:c r="F42" s="9" t="str">
        <x:v>KG</x:v>
      </x:c>
      <x:c r="G42" s="15" t="n">
        <x:v>460351.1</x:v>
      </x:c>
      <x:c r="H42" s="15" t="n">
        <x:v>3</x:v>
      </x:c>
      <x:c r="I42" s="16" t="n">
        <x:v>1381053</x:v>
      </x:c>
      <x:c r="J42" s="13" t="n">
        <x:f>IF(OR(G42="",H42=""),"",ROUND(G42*H42,0))</x:f>
        <x:v>1381053</x:v>
      </x:c>
      <x:c r="K42" s="13" t="n">
        <x:f>IF(OR(I42="",J42=""),"",I42-J42)</x:f>
        <x:v>0</x:v>
      </x:c>
      <x:c r="L42" s="9" t="str"/>
      <x:c r="M42" s="9" t="n">
        <x:v>3</x:v>
      </x:c>
      <x:c r="N42" s="9" t="str">
        <x:v>工程明細</x:v>
      </x:c>
      <x:c r="O42" s="9" t="str">
        <x:v>鋼構工程</x:v>
      </x:c>
      <x:c r="P42" s="9" t="str"/>
    </x:row>
    <x:row r="43" ht="15" customHeight="1">
      <x:c r="A43" s="10" t="str">
        <x:v>lidong-038</x:v>
      </x:c>
      <x:c r="B43" s="10" t="str">
        <x:v>鋼構工程</x:v>
      </x:c>
      <x:c r="C43" s="10" t="str">
        <x:v>鋼構一次工程</x:v>
      </x:c>
      <x:c r="D43" s="10" t="str">
        <x:v>8</x:v>
      </x:c>
      <x:c r="E43" s="10" t="str">
        <x:v>廠內加工、現場安裝、燒焊工資</x:v>
      </x:c>
      <x:c r="F43" s="10" t="str">
        <x:v>KG</x:v>
      </x:c>
      <x:c r="G43" s="17" t="n">
        <x:v>460351.1</x:v>
      </x:c>
      <x:c r="H43" s="17" t="n">
        <x:v>19.5</x:v>
      </x:c>
      <x:c r="I43" s="18" t="n">
        <x:v>8976846</x:v>
      </x:c>
      <x:c r="J43" s="14" t="n">
        <x:f>IF(OR(G43="",H43=""),"",ROUND(G43*H43,0))</x:f>
        <x:v>8976846</x:v>
      </x:c>
      <x:c r="K43" s="14" t="n">
        <x:f>IF(OR(I43="",J43=""),"",I43-J43)</x:f>
        <x:v>0</x:v>
      </x:c>
      <x:c r="L43" s="10" t="str"/>
      <x:c r="M43" s="10" t="n">
        <x:v>3</x:v>
      </x:c>
      <x:c r="N43" s="10" t="str">
        <x:v>工程明細</x:v>
      </x:c>
      <x:c r="O43" s="10" t="str">
        <x:v>鋼構工程</x:v>
      </x:c>
      <x:c r="P43" s="10" t="str"/>
    </x:row>
    <x:row r="44" ht="15" customHeight="1">
      <x:c r="A44" s="9" t="str">
        <x:v>lidong-039</x:v>
      </x:c>
      <x:c r="B44" s="9" t="str">
        <x:v>鋼構工程</x:v>
      </x:c>
      <x:c r="C44" s="9" t="str">
        <x:v>鋼構一次工程</x:v>
      </x:c>
      <x:c r="D44" s="9" t="str">
        <x:v>9</x:v>
      </x:c>
      <x:c r="E44" s="9" t="str">
        <x:v>吊、運費</x:v>
      </x:c>
      <x:c r="F44" s="9" t="str">
        <x:v>噸</x:v>
      </x:c>
      <x:c r="G44" s="15" t="n">
        <x:v>460</x:v>
      </x:c>
      <x:c r="H44" s="15" t="n">
        <x:v>1550</x:v>
      </x:c>
      <x:c r="I44" s="16" t="n">
        <x:v>713000</x:v>
      </x:c>
      <x:c r="J44" s="13" t="n">
        <x:f>IF(OR(G44="",H44=""),"",ROUND(G44*H44,0))</x:f>
        <x:v>713000</x:v>
      </x:c>
      <x:c r="K44" s="13" t="n">
        <x:f>IF(OR(I44="",J44=""),"",I44-J44)</x:f>
        <x:v>0</x:v>
      </x:c>
      <x:c r="L44" s="9" t="str"/>
      <x:c r="M44" s="9" t="n">
        <x:v>3</x:v>
      </x:c>
      <x:c r="N44" s="9" t="str">
        <x:v>工程明細</x:v>
      </x:c>
      <x:c r="O44" s="9" t="str">
        <x:v>鋼構工程</x:v>
      </x:c>
      <x:c r="P44" s="9" t="str"/>
    </x:row>
    <x:row r="45" ht="15" customHeight="1">
      <x:c r="A45" s="10" t="str">
        <x:v>lidong-040</x:v>
      </x:c>
      <x:c r="B45" s="10" t="str">
        <x:v>鋼構工程</x:v>
      </x:c>
      <x:c r="C45" s="10" t="str">
        <x:v>鋼構一次工程</x:v>
      </x:c>
      <x:c r="D45" s="10" t="str">
        <x:v>10</x:v>
      </x:c>
      <x:c r="E45" s="10" t="str">
        <x:v>F10T 扭矩控制螺栓</x:v>
      </x:c>
      <x:c r="F45" s="10" t="str">
        <x:v>KG</x:v>
      </x:c>
      <x:c r="G45" s="17" t="n">
        <x:v>1700</x:v>
      </x:c>
      <x:c r="H45" s="17" t="n">
        <x:v>93</x:v>
      </x:c>
      <x:c r="I45" s="18" t="n">
        <x:v>158100</x:v>
      </x:c>
      <x:c r="J45" s="14" t="n">
        <x:f>IF(OR(G45="",H45=""),"",ROUND(G45*H45,0))</x:f>
        <x:v>158100</x:v>
      </x:c>
      <x:c r="K45" s="14" t="n">
        <x:f>IF(OR(I45="",J45=""),"",I45-J45)</x:f>
        <x:v>0</x:v>
      </x:c>
      <x:c r="L45" s="10" t="str"/>
      <x:c r="M45" s="10" t="n">
        <x:v>3</x:v>
      </x:c>
      <x:c r="N45" s="10" t="str">
        <x:v>工程明細</x:v>
      </x:c>
      <x:c r="O45" s="10" t="str">
        <x:v>鋼構工程</x:v>
      </x:c>
      <x:c r="P45" s="10" t="str"/>
    </x:row>
    <x:row r="46" ht="15" customHeight="1">
      <x:c r="A46" s="9" t="str">
        <x:v>lidong-041</x:v>
      </x:c>
      <x:c r="B46" s="9" t="str">
        <x:v>鋼構工程</x:v>
      </x:c>
      <x:c r="C46" s="9" t="str">
        <x:v>鋼構一次工程</x:v>
      </x:c>
      <x:c r="D46" s="9" t="str">
        <x:v>11</x:v>
      </x:c>
      <x:c r="E46" s="9" t="str">
        <x:v>Z275 3W 1.5mm 樓層鋼板</x:v>
      </x:c>
      <x:c r="F46" s="9" t="str">
        <x:v>M2</x:v>
      </x:c>
      <x:c r="G46" s="15" t="n">
        <x:v>3454</x:v>
      </x:c>
      <x:c r="H46" s="15" t="n">
        <x:v>880</x:v>
      </x:c>
      <x:c r="I46" s="16" t="n">
        <x:v>3039520</x:v>
      </x:c>
      <x:c r="J46" s="13" t="n">
        <x:f>IF(OR(G46="",H46=""),"",ROUND(G46*H46,0))</x:f>
        <x:v>3039520</x:v>
      </x:c>
      <x:c r="K46" s="13" t="n">
        <x:f>IF(OR(I46="",J46=""),"",I46-J46)</x:f>
        <x:v>0</x:v>
      </x:c>
      <x:c r="L46" s="9" t="str"/>
      <x:c r="M46" s="9" t="n">
        <x:v>3</x:v>
      </x:c>
      <x:c r="N46" s="9" t="str">
        <x:v>工程明細</x:v>
      </x:c>
      <x:c r="O46" s="9" t="str">
        <x:v>鋼構工程</x:v>
      </x:c>
      <x:c r="P46" s="9" t="str"/>
    </x:row>
    <x:row r="47" ht="15" customHeight="1">
      <x:c r="A47" s="10" t="str">
        <x:v>lidong-042</x:v>
      </x:c>
      <x:c r="B47" s="10" t="str">
        <x:v>鋼構工程</x:v>
      </x:c>
      <x:c r="C47" s="10" t="str">
        <x:v>鋼構一次工程</x:v>
      </x:c>
      <x:c r="D47" s="10" t="str">
        <x:v>12</x:v>
      </x:c>
      <x:c r="E47" s="10" t="str">
        <x:v>鋼模止水墩（夾層及二、三樓陽台）</x:v>
      </x:c>
      <x:c r="F47" s="10" t="str">
        <x:v>M</x:v>
      </x:c>
      <x:c r="G47" s="17" t="n">
        <x:v>75</x:v>
      </x:c>
      <x:c r="H47" s="17" t="n">
        <x:v>700</x:v>
      </x:c>
      <x:c r="I47" s="18" t="n">
        <x:v>52500</x:v>
      </x:c>
      <x:c r="J47" s="14" t="n">
        <x:f>IF(OR(G47="",H47=""),"",ROUND(G47*H47,0))</x:f>
        <x:v>52500</x:v>
      </x:c>
      <x:c r="K47" s="14" t="n">
        <x:f>IF(OR(I47="",J47=""),"",I47-J47)</x:f>
        <x:v>0</x:v>
      </x:c>
      <x:c r="L47" s="10" t="str"/>
      <x:c r="M47" s="10" t="n">
        <x:v>3</x:v>
      </x:c>
      <x:c r="N47" s="10" t="str">
        <x:v>工程明細</x:v>
      </x:c>
      <x:c r="O47" s="10" t="str">
        <x:v>鋼構工程</x:v>
      </x:c>
      <x:c r="P47" s="10" t="str"/>
    </x:row>
    <x:row r="48" ht="15" customHeight="1">
      <x:c r="A48" s="9" t="str">
        <x:v>lidong-043</x:v>
      </x:c>
      <x:c r="B48" s="9" t="str">
        <x:v>鋼構工程</x:v>
      </x:c>
      <x:c r="C48" s="9" t="str">
        <x:v>鋼構一次工程</x:v>
      </x:c>
      <x:c r="D48" s="9" t="str">
        <x:v>13</x:v>
      </x:c>
      <x:c r="E48" s="9" t="str">
        <x:v>Ø 19＊115 剪力釘（樓板）</x:v>
      </x:c>
      <x:c r="F48" s="9" t="str">
        <x:v>支</x:v>
      </x:c>
      <x:c r="G48" s="15" t="n">
        <x:v>11700</x:v>
      </x:c>
      <x:c r="H48" s="15" t="n">
        <x:v>45</x:v>
      </x:c>
      <x:c r="I48" s="16" t="n">
        <x:v>526500</x:v>
      </x:c>
      <x:c r="J48" s="13" t="n">
        <x:f>IF(OR(G48="",H48=""),"",ROUND(G48*H48,0))</x:f>
        <x:v>526500</x:v>
      </x:c>
      <x:c r="K48" s="13" t="n">
        <x:f>IF(OR(I48="",J48=""),"",I48-J48)</x:f>
        <x:v>0</x:v>
      </x:c>
      <x:c r="L48" s="9" t="str"/>
      <x:c r="M48" s="9" t="n">
        <x:v>3</x:v>
      </x:c>
      <x:c r="N48" s="9" t="str">
        <x:v>工程明細</x:v>
      </x:c>
      <x:c r="O48" s="9" t="str">
        <x:v>鋼構工程</x:v>
      </x:c>
      <x:c r="P48" s="9" t="str"/>
    </x:row>
    <x:row r="49" ht="15" customHeight="1">
      <x:c r="A49" s="10" t="str">
        <x:v>lidong-044</x:v>
      </x:c>
      <x:c r="B49" s="10" t="str">
        <x:v>鋼構工程</x:v>
      </x:c>
      <x:c r="C49" s="10" t="str">
        <x:v>鋼構一次工程</x:v>
      </x:c>
      <x:c r="D49" s="10" t="str">
        <x:v>14</x:v>
      </x:c>
      <x:c r="E49" s="10" t="str">
        <x:v>柱底座無收縮水泥灌注</x:v>
      </x:c>
      <x:c r="F49" s="10" t="str">
        <x:v>處</x:v>
      </x:c>
      <x:c r="G49" s="17" t="n">
        <x:v>34</x:v>
      </x:c>
      <x:c r="H49" s="17" t="n">
        <x:v>2580</x:v>
      </x:c>
      <x:c r="I49" s="18" t="n">
        <x:v>87720</x:v>
      </x:c>
      <x:c r="J49" s="14" t="n">
        <x:f>IF(OR(G49="",H49=""),"",ROUND(G49*H49,0))</x:f>
        <x:v>87720</x:v>
      </x:c>
      <x:c r="K49" s="14" t="n">
        <x:f>IF(OR(I49="",J49=""),"",I49-J49)</x:f>
        <x:v>0</x:v>
      </x:c>
      <x:c r="L49" s="10" t="str"/>
      <x:c r="M49" s="10" t="n">
        <x:v>3</x:v>
      </x:c>
      <x:c r="N49" s="10" t="str">
        <x:v>工程明細</x:v>
      </x:c>
      <x:c r="O49" s="10" t="str">
        <x:v>鋼構工程</x:v>
      </x:c>
      <x:c r="P49" s="10" t="str"/>
    </x:row>
    <x:row r="50" ht="15" customHeight="1">
      <x:c r="A50" s="9" t="str">
        <x:v>lidong-045</x:v>
      </x:c>
      <x:c r="B50" s="9" t="str">
        <x:v>鋼構工程</x:v>
      </x:c>
      <x:c r="C50" s="9" t="str">
        <x:v>鋼構一次工程</x:v>
      </x:c>
      <x:c r="D50" s="9" t="str">
        <x:v>15</x:v>
      </x:c>
      <x:c r="E50" s="9" t="str">
        <x:v>鋼構防火漆、面漆</x:v>
      </x:c>
      <x:c r="F50" s="9" t="str">
        <x:v>M2</x:v>
      </x:c>
      <x:c r="G50" s="15" t="n">
        <x:v>6257.9</x:v>
      </x:c>
      <x:c r="H50" s="15" t="n">
        <x:v>385</x:v>
      </x:c>
      <x:c r="I50" s="16" t="n">
        <x:v>2409292</x:v>
      </x:c>
      <x:c r="J50" s="13" t="n">
        <x:f>IF(OR(G50="",H50=""),"",ROUND(G50*H50,0))</x:f>
        <x:v>2409292</x:v>
      </x:c>
      <x:c r="K50" s="13" t="n">
        <x:f>IF(OR(I50="",J50=""),"",I50-J50)</x:f>
        <x:v>0</x:v>
      </x:c>
      <x:c r="L50" s="9" t="str"/>
      <x:c r="M50" s="9" t="n">
        <x:v>3</x:v>
      </x:c>
      <x:c r="N50" s="9" t="str">
        <x:v>工程明細</x:v>
      </x:c>
      <x:c r="O50" s="9" t="str">
        <x:v>鋼構工程</x:v>
      </x:c>
      <x:c r="P50" s="9" t="str"/>
    </x:row>
    <x:row r="51" ht="15" customHeight="1">
      <x:c r="A51" s="10" t="str">
        <x:v>lidong-046</x:v>
      </x:c>
      <x:c r="B51" s="10" t="str">
        <x:v>鋼構工程</x:v>
      </x:c>
      <x:c r="C51" s="10" t="str">
        <x:v>鋼構一次工程</x:v>
      </x:c>
      <x:c r="D51" s="10" t="str">
        <x:v>16</x:v>
      </x:c>
      <x:c r="E51" s="10" t="str">
        <x:v>安全設施、設備、製圖、耗損</x:v>
      </x:c>
      <x:c r="F51" s="10" t="str">
        <x:v>式</x:v>
      </x:c>
      <x:c r="G51" s="17" t="n">
        <x:v>1</x:v>
      </x:c>
      <x:c r="H51" s="17" t="n">
        <x:v>1142900</x:v>
      </x:c>
      <x:c r="I51" s="18" t="n">
        <x:v>1142900</x:v>
      </x:c>
      <x:c r="J51" s="14" t="n">
        <x:f>IF(OR(G51="",H51=""),"",ROUND(G51*H51,0))</x:f>
        <x:v>1142900</x:v>
      </x:c>
      <x:c r="K51" s="14" t="n">
        <x:f>IF(OR(I51="",J51=""),"",I51-J51)</x:f>
        <x:v>0</x:v>
      </x:c>
      <x:c r="L51" s="10" t="str"/>
      <x:c r="M51" s="10" t="n">
        <x:v>3</x:v>
      </x:c>
      <x:c r="N51" s="10" t="str">
        <x:v>工程明細</x:v>
      </x:c>
      <x:c r="O51" s="10" t="str">
        <x:v>鋼構工程</x:v>
      </x:c>
      <x:c r="P51" s="10" t="str"/>
    </x:row>
    <x:row r="52" ht="15" customHeight="1">
      <x:c r="A52" s="9" t="str">
        <x:v>lidong-047</x:v>
      </x:c>
      <x:c r="B52" s="9" t="str">
        <x:v>鋼構工程</x:v>
      </x:c>
      <x:c r="C52" s="9" t="str">
        <x:v>鋼構一次工程</x:v>
      </x:c>
      <x:c r="D52" s="9" t="str">
        <x:v>17</x:v>
      </x:c>
      <x:c r="E52" s="9" t="str">
        <x:v>鋼構焊接費用</x:v>
      </x:c>
      <x:c r="F52" s="9" t="str">
        <x:v>式</x:v>
      </x:c>
      <x:c r="G52" s="15" t="n">
        <x:v>1</x:v>
      </x:c>
      <x:c r="H52" s="15" t="n">
        <x:v>123600</x:v>
      </x:c>
      <x:c r="I52" s="16" t="n">
        <x:v>123600</x:v>
      </x:c>
      <x:c r="J52" s="13" t="n">
        <x:f>IF(OR(G52="",H52=""),"",ROUND(G52*H52,0))</x:f>
        <x:v>123600</x:v>
      </x:c>
      <x:c r="K52" s="13" t="n">
        <x:f>IF(OR(I52="",J52=""),"",I52-J52)</x:f>
        <x:v>0</x:v>
      </x:c>
      <x:c r="L52" s="9" t="str"/>
      <x:c r="M52" s="9" t="n">
        <x:v>3</x:v>
      </x:c>
      <x:c r="N52" s="9" t="str">
        <x:v>工程明細</x:v>
      </x:c>
      <x:c r="O52" s="9" t="str">
        <x:v>鋼構工程</x:v>
      </x:c>
      <x:c r="P52" s="9" t="str"/>
    </x:row>
    <x:row r="53" ht="15" customHeight="1">
      <x:c r="A53" s="10" t="str">
        <x:v>lidong-048</x:v>
      </x:c>
      <x:c r="B53" s="10" t="str">
        <x:v>鋼構工程</x:v>
      </x:c>
      <x:c r="C53" s="10" t="str">
        <x:v>鋼構二次工程</x:v>
      </x:c>
      <x:c r="D53" s="10" t="str">
        <x:v>1</x:v>
      </x:c>
      <x:c r="E53" s="10" t="str">
        <x:v>SN490YB H型鋼：400＊400＊13＊21</x:v>
      </x:c>
      <x:c r="F53" s="10" t="str">
        <x:v>KG</x:v>
      </x:c>
      <x:c r="G53" s="17" t="n">
        <x:v>1032</x:v>
      </x:c>
      <x:c r="H53" s="17" t="n">
        <x:v>31</x:v>
      </x:c>
      <x:c r="I53" s="18" t="n">
        <x:v>31992</x:v>
      </x:c>
      <x:c r="J53" s="14" t="n">
        <x:f>IF(OR(G53="",H53=""),"",ROUND(G53*H53,0))</x:f>
        <x:v>31992</x:v>
      </x:c>
      <x:c r="K53" s="14" t="n">
        <x:f>IF(OR(I53="",J53=""),"",I53-J53)</x:f>
        <x:v>0</x:v>
      </x:c>
      <x:c r="L53" s="10" t="str"/>
      <x:c r="M53" s="10" t="n">
        <x:v>3</x:v>
      </x:c>
      <x:c r="N53" s="10" t="str">
        <x:v>工程明細</x:v>
      </x:c>
      <x:c r="O53" s="10" t="str">
        <x:v>鋼構工程</x:v>
      </x:c>
      <x:c r="P53" s="10" t="str"/>
    </x:row>
    <x:row r="54" ht="15" customHeight="1">
      <x:c r="A54" s="9" t="str">
        <x:v>lidong-049</x:v>
      </x:c>
      <x:c r="B54" s="9" t="str">
        <x:v>鋼構工程</x:v>
      </x:c>
      <x:c r="C54" s="9" t="str">
        <x:v>鋼構二次工程</x:v>
      </x:c>
      <x:c r="D54" s="9" t="str">
        <x:v>2</x:v>
      </x:c>
      <x:c r="E54" s="9" t="str">
        <x:v>SN490YB H型鋼：其他規格</x:v>
      </x:c>
      <x:c r="F54" s="9" t="str">
        <x:v>KG</x:v>
      </x:c>
      <x:c r="G54" s="15" t="n">
        <x:v>8433.7</x:v>
      </x:c>
      <x:c r="H54" s="15" t="n">
        <x:v>30.8</x:v>
      </x:c>
      <x:c r="I54" s="16" t="n">
        <x:v>259758</x:v>
      </x:c>
      <x:c r="J54" s="13" t="n">
        <x:f>IF(OR(G54="",H54=""),"",ROUND(G54*H54,0))</x:f>
        <x:v>259758</x:v>
      </x:c>
      <x:c r="K54" s="13" t="n">
        <x:f>IF(OR(I54="",J54=""),"",I54-J54)</x:f>
        <x:v>0</x:v>
      </x:c>
      <x:c r="L54" s="9" t="str"/>
      <x:c r="M54" s="9" t="n">
        <x:v>3</x:v>
      </x:c>
      <x:c r="N54" s="9" t="str">
        <x:v>工程明細</x:v>
      </x:c>
      <x:c r="O54" s="9" t="str">
        <x:v>鋼構工程</x:v>
      </x:c>
      <x:c r="P54" s="9" t="str"/>
    </x:row>
    <x:row r="55" ht="15" customHeight="1">
      <x:c r="A55" s="10" t="str">
        <x:v>lidong-050</x:v>
      </x:c>
      <x:c r="B55" s="10" t="str">
        <x:v>鋼構工程</x:v>
      </x:c>
      <x:c r="C55" s="10" t="str">
        <x:v>鋼構二次工程</x:v>
      </x:c>
      <x:c r="D55" s="10" t="str">
        <x:v>3</x:v>
      </x:c>
      <x:c r="E55" s="10" t="str">
        <x:v>SN400B 基承板、接合板、加勁板</x:v>
      </x:c>
      <x:c r="F55" s="10" t="str">
        <x:v>KG</x:v>
      </x:c>
      <x:c r="G55" s="17" t="n">
        <x:v>946.6</x:v>
      </x:c>
      <x:c r="H55" s="17" t="n">
        <x:v>41</x:v>
      </x:c>
      <x:c r="I55" s="18" t="n">
        <x:v>38811</x:v>
      </x:c>
      <x:c r="J55" s="14" t="n">
        <x:f>IF(OR(G55="",H55=""),"",ROUND(G55*H55,0))</x:f>
        <x:v>38811</x:v>
      </x:c>
      <x:c r="K55" s="14" t="n">
        <x:f>IF(OR(I55="",J55=""),"",I55-J55)</x:f>
        <x:v>0</x:v>
      </x:c>
      <x:c r="L55" s="10" t="str"/>
      <x:c r="M55" s="10" t="n">
        <x:v>3</x:v>
      </x:c>
      <x:c r="N55" s="10" t="str">
        <x:v>工程明細</x:v>
      </x:c>
      <x:c r="O55" s="10" t="str">
        <x:v>鋼構工程</x:v>
      </x:c>
      <x:c r="P55" s="10" t="str"/>
    </x:row>
    <x:row r="56" ht="15" customHeight="1">
      <x:c r="A56" s="9" t="str">
        <x:v>lidong-051</x:v>
      </x:c>
      <x:c r="B56" s="9" t="str">
        <x:v>鋼構工程</x:v>
      </x:c>
      <x:c r="C56" s="9" t="str">
        <x:v>鋼構二次工程</x:v>
      </x:c>
      <x:c r="D56" s="9" t="str">
        <x:v>4</x:v>
      </x:c>
      <x:c r="E56" s="9" t="str">
        <x:v>A36 鋼梯</x:v>
      </x:c>
      <x:c r="F56" s="9" t="str">
        <x:v>KG</x:v>
      </x:c>
      <x:c r="G56" s="15" t="n">
        <x:v>2546.5</x:v>
      </x:c>
      <x:c r="H56" s="15" t="n">
        <x:v>46</x:v>
      </x:c>
      <x:c r="I56" s="16" t="n">
        <x:v>117139</x:v>
      </x:c>
      <x:c r="J56" s="13" t="n">
        <x:f>IF(OR(G56="",H56=""),"",ROUND(G56*H56,0))</x:f>
        <x:v>117139</x:v>
      </x:c>
      <x:c r="K56" s="13" t="n">
        <x:f>IF(OR(I56="",J56=""),"",I56-J56)</x:f>
        <x:v>0</x:v>
      </x:c>
      <x:c r="L56" s="9" t="str"/>
      <x:c r="M56" s="9" t="n">
        <x:v>3</x:v>
      </x:c>
      <x:c r="N56" s="9" t="str">
        <x:v>工程明細</x:v>
      </x:c>
      <x:c r="O56" s="9" t="str">
        <x:v>鋼構工程</x:v>
      </x:c>
      <x:c r="P56" s="9" t="str"/>
    </x:row>
    <x:row r="57" ht="15" customHeight="1">
      <x:c r="A57" s="10" t="str">
        <x:v>lidong-052</x:v>
      </x:c>
      <x:c r="B57" s="10" t="str">
        <x:v>鋼構工程</x:v>
      </x:c>
      <x:c r="C57" s="10" t="str">
        <x:v>鋼構二次工程</x:v>
      </x:c>
      <x:c r="D57" s="10" t="str">
        <x:v>5</x:v>
      </x:c>
      <x:c r="E57" s="10" t="str">
        <x:v>噴砂、磷酸鋅底漆</x:v>
      </x:c>
      <x:c r="F57" s="10" t="str">
        <x:v>KG</x:v>
      </x:c>
      <x:c r="G57" s="17" t="n">
        <x:v>12958.8</x:v>
      </x:c>
      <x:c r="H57" s="17" t="n">
        <x:v>3</x:v>
      </x:c>
      <x:c r="I57" s="18" t="n">
        <x:v>38876</x:v>
      </x:c>
      <x:c r="J57" s="14" t="n">
        <x:f>IF(OR(G57="",H57=""),"",ROUND(G57*H57,0))</x:f>
        <x:v>38876</x:v>
      </x:c>
      <x:c r="K57" s="14" t="n">
        <x:f>IF(OR(I57="",J57=""),"",I57-J57)</x:f>
        <x:v>0</x:v>
      </x:c>
      <x:c r="L57" s="10" t="str"/>
      <x:c r="M57" s="10" t="n">
        <x:v>4</x:v>
      </x:c>
      <x:c r="N57" s="10" t="str">
        <x:v>工程明細</x:v>
      </x:c>
      <x:c r="O57" s="10" t="str">
        <x:v>鋼構工程</x:v>
      </x:c>
      <x:c r="P57" s="10" t="str"/>
    </x:row>
    <x:row r="58" ht="15" customHeight="1">
      <x:c r="A58" s="9" t="str">
        <x:v>lidong-053</x:v>
      </x:c>
      <x:c r="B58" s="9" t="str">
        <x:v>鋼構工程</x:v>
      </x:c>
      <x:c r="C58" s="9" t="str">
        <x:v>鋼構二次工程</x:v>
      </x:c>
      <x:c r="D58" s="9" t="str">
        <x:v>6</x:v>
      </x:c>
      <x:c r="E58" s="9" t="str">
        <x:v>廠內加工、現場安裝、燒焊工資</x:v>
      </x:c>
      <x:c r="F58" s="9" t="str">
        <x:v>KG</x:v>
      </x:c>
      <x:c r="G58" s="15" t="n">
        <x:v>12958.8</x:v>
      </x:c>
      <x:c r="H58" s="15" t="n">
        <x:v>26</x:v>
      </x:c>
      <x:c r="I58" s="16" t="n">
        <x:v>336929</x:v>
      </x:c>
      <x:c r="J58" s="13" t="n">
        <x:f>IF(OR(G58="",H58=""),"",ROUND(G58*H58,0))</x:f>
        <x:v>336929</x:v>
      </x:c>
      <x:c r="K58" s="13" t="n">
        <x:f>IF(OR(I58="",J58=""),"",I58-J58)</x:f>
        <x:v>0</x:v>
      </x:c>
      <x:c r="L58" s="9" t="str"/>
      <x:c r="M58" s="9" t="n">
        <x:v>4</x:v>
      </x:c>
      <x:c r="N58" s="9" t="str">
        <x:v>工程明細</x:v>
      </x:c>
      <x:c r="O58" s="9" t="str">
        <x:v>鋼構工程</x:v>
      </x:c>
      <x:c r="P58" s="9" t="str"/>
    </x:row>
    <x:row r="59" ht="15" customHeight="1">
      <x:c r="A59" s="10" t="str">
        <x:v>lidong-054</x:v>
      </x:c>
      <x:c r="B59" s="10" t="str">
        <x:v>鋼構工程</x:v>
      </x:c>
      <x:c r="C59" s="10" t="str">
        <x:v>鋼構二次工程</x:v>
      </x:c>
      <x:c r="D59" s="10" t="str">
        <x:v>7</x:v>
      </x:c>
      <x:c r="E59" s="10" t="str">
        <x:v>吊、運費</x:v>
      </x:c>
      <x:c r="F59" s="10" t="str">
        <x:v>式</x:v>
      </x:c>
      <x:c r="G59" s="17" t="n">
        <x:v>1</x:v>
      </x:c>
      <x:c r="H59" s="17" t="n">
        <x:v>67000</x:v>
      </x:c>
      <x:c r="I59" s="18" t="n">
        <x:v>67000</x:v>
      </x:c>
      <x:c r="J59" s="14" t="n">
        <x:f>IF(OR(G59="",H59=""),"",ROUND(G59*H59,0))</x:f>
        <x:v>67000</x:v>
      </x:c>
      <x:c r="K59" s="14" t="n">
        <x:f>IF(OR(I59="",J59=""),"",I59-J59)</x:f>
        <x:v>0</x:v>
      </x:c>
      <x:c r="L59" s="10" t="str"/>
      <x:c r="M59" s="10" t="n">
        <x:v>4</x:v>
      </x:c>
      <x:c r="N59" s="10" t="str">
        <x:v>工程明細</x:v>
      </x:c>
      <x:c r="O59" s="10" t="str">
        <x:v>鋼構工程</x:v>
      </x:c>
      <x:c r="P59" s="10" t="str"/>
    </x:row>
    <x:row r="60" ht="15" customHeight="1">
      <x:c r="A60" s="9" t="str">
        <x:v>lidong-055</x:v>
      </x:c>
      <x:c r="B60" s="9" t="str">
        <x:v>鋼構工程</x:v>
      </x:c>
      <x:c r="C60" s="9" t="str">
        <x:v>鋼構二次工程</x:v>
      </x:c>
      <x:c r="D60" s="9" t="str">
        <x:v>8</x:v>
      </x:c>
      <x:c r="E60" s="9" t="str">
        <x:v>F10T 扭矩控制螺栓</x:v>
      </x:c>
      <x:c r="F60" s="9" t="str">
        <x:v>KG</x:v>
      </x:c>
      <x:c r="G60" s="15" t="n">
        <x:v>80</x:v>
      </x:c>
      <x:c r="H60" s="15" t="n">
        <x:v>95</x:v>
      </x:c>
      <x:c r="I60" s="16" t="n">
        <x:v>7600</x:v>
      </x:c>
      <x:c r="J60" s="13" t="n">
        <x:f>IF(OR(G60="",H60=""),"",ROUND(G60*H60,0))</x:f>
        <x:v>7600</x:v>
      </x:c>
      <x:c r="K60" s="13" t="n">
        <x:f>IF(OR(I60="",J60=""),"",I60-J60)</x:f>
        <x:v>0</x:v>
      </x:c>
      <x:c r="L60" s="9" t="str"/>
      <x:c r="M60" s="9" t="n">
        <x:v>4</x:v>
      </x:c>
      <x:c r="N60" s="9" t="str">
        <x:v>工程明細</x:v>
      </x:c>
      <x:c r="O60" s="9" t="str">
        <x:v>鋼構工程</x:v>
      </x:c>
      <x:c r="P60" s="9" t="str"/>
    </x:row>
    <x:row r="61" ht="15" customHeight="1">
      <x:c r="A61" s="10" t="str">
        <x:v>lidong-056</x:v>
      </x:c>
      <x:c r="B61" s="10" t="str">
        <x:v>鋼構工程</x:v>
      </x:c>
      <x:c r="C61" s="10" t="str">
        <x:v>鋼構二次工程</x:v>
      </x:c>
      <x:c r="D61" s="10" t="str">
        <x:v>9</x:v>
      </x:c>
      <x:c r="E61" s="10" t="str">
        <x:v>Z275 3W 1.5mm 樓層鋼板</x:v>
      </x:c>
      <x:c r="F61" s="10" t="str">
        <x:v>M2</x:v>
      </x:c>
      <x:c r="G61" s="17" t="n">
        <x:v>464</x:v>
      </x:c>
      <x:c r="H61" s="17" t="n">
        <x:v>930</x:v>
      </x:c>
      <x:c r="I61" s="18" t="n">
        <x:v>431520</x:v>
      </x:c>
      <x:c r="J61" s="14" t="n">
        <x:f>IF(OR(G61="",H61=""),"",ROUND(G61*H61,0))</x:f>
        <x:v>431520</x:v>
      </x:c>
      <x:c r="K61" s="14" t="n">
        <x:f>IF(OR(I61="",J61=""),"",I61-J61)</x:f>
        <x:v>0</x:v>
      </x:c>
      <x:c r="L61" s="10" t="str"/>
      <x:c r="M61" s="10" t="n">
        <x:v>4</x:v>
      </x:c>
      <x:c r="N61" s="10" t="str">
        <x:v>工程明細</x:v>
      </x:c>
      <x:c r="O61" s="10" t="str">
        <x:v>鋼構工程</x:v>
      </x:c>
      <x:c r="P61" s="10" t="str"/>
    </x:row>
    <x:row r="62" ht="15" customHeight="1">
      <x:c r="A62" s="9" t="str">
        <x:v>lidong-057</x:v>
      </x:c>
      <x:c r="B62" s="9" t="str">
        <x:v>鋼構工程</x:v>
      </x:c>
      <x:c r="C62" s="9" t="str">
        <x:v>鋼構二次工程</x:v>
      </x:c>
      <x:c r="D62" s="9" t="str">
        <x:v>10</x:v>
      </x:c>
      <x:c r="E62" s="9" t="str">
        <x:v>Ø 19＊115 剪力釘（樓板）</x:v>
      </x:c>
      <x:c r="F62" s="9" t="str">
        <x:v>支</x:v>
      </x:c>
      <x:c r="G62" s="15" t="n">
        <x:v>380</x:v>
      </x:c>
      <x:c r="H62" s="15" t="n">
        <x:v>45</x:v>
      </x:c>
      <x:c r="I62" s="16" t="n">
        <x:v>17100</x:v>
      </x:c>
      <x:c r="J62" s="13" t="n">
        <x:f>IF(OR(G62="",H62=""),"",ROUND(G62*H62,0))</x:f>
        <x:v>17100</x:v>
      </x:c>
      <x:c r="K62" s="13" t="n">
        <x:f>IF(OR(I62="",J62=""),"",I62-J62)</x:f>
        <x:v>0</x:v>
      </x:c>
      <x:c r="L62" s="9" t="str"/>
      <x:c r="M62" s="9" t="n">
        <x:v>4</x:v>
      </x:c>
      <x:c r="N62" s="9" t="str">
        <x:v>工程明細</x:v>
      </x:c>
      <x:c r="O62" s="9" t="str">
        <x:v>鋼構工程</x:v>
      </x:c>
      <x:c r="P62" s="9" t="str"/>
    </x:row>
    <x:row r="63" ht="15" customHeight="1">
      <x:c r="A63" s="10" t="str">
        <x:v>lidong-058</x:v>
      </x:c>
      <x:c r="B63" s="10" t="str">
        <x:v>鋼構工程</x:v>
      </x:c>
      <x:c r="C63" s="10" t="str">
        <x:v>鋼構二次工程</x:v>
      </x:c>
      <x:c r="D63" s="10" t="str">
        <x:v>11</x:v>
      </x:c>
      <x:c r="E63" s="10" t="str">
        <x:v>鋼構防火漆、面漆</x:v>
      </x:c>
      <x:c r="F63" s="10" t="str">
        <x:v>M2</x:v>
      </x:c>
      <x:c r="G63" s="17" t="n">
        <x:v>188.1</x:v>
      </x:c>
      <x:c r="H63" s="17" t="n">
        <x:v>415</x:v>
      </x:c>
      <x:c r="I63" s="18" t="n">
        <x:v>78062</x:v>
      </x:c>
      <x:c r="J63" s="14" t="n">
        <x:f>IF(OR(G63="",H63=""),"",ROUND(G63*H63,0))</x:f>
        <x:v>78062</x:v>
      </x:c>
      <x:c r="K63" s="14" t="n">
        <x:f>IF(OR(I63="",J63=""),"",I63-J63)</x:f>
        <x:v>0</x:v>
      </x:c>
      <x:c r="L63" s="10" t="str"/>
      <x:c r="M63" s="10" t="n">
        <x:v>4</x:v>
      </x:c>
      <x:c r="N63" s="10" t="str">
        <x:v>工程明細</x:v>
      </x:c>
      <x:c r="O63" s="10" t="str">
        <x:v>鋼構工程</x:v>
      </x:c>
      <x:c r="P63" s="10" t="str"/>
    </x:row>
    <x:row r="64" ht="15" customHeight="1">
      <x:c r="A64" s="9" t="str">
        <x:v>lidong-059</x:v>
      </x:c>
      <x:c r="B64" s="9" t="str">
        <x:v>鋼構工程</x:v>
      </x:c>
      <x:c r="C64" s="9" t="str">
        <x:v>鋼構二次工程</x:v>
      </x:c>
      <x:c r="D64" s="9" t="str">
        <x:v>12</x:v>
      </x:c>
      <x:c r="E64" s="9" t="str">
        <x:v>安全設施、設備、製圖、耗損</x:v>
      </x:c>
      <x:c r="F64" s="9" t="str">
        <x:v>式</x:v>
      </x:c>
      <x:c r="G64" s="15" t="n">
        <x:v>1</x:v>
      </x:c>
      <x:c r="H64" s="15" t="n">
        <x:v>71000</x:v>
      </x:c>
      <x:c r="I64" s="16" t="n">
        <x:v>71000</x:v>
      </x:c>
      <x:c r="J64" s="13" t="n">
        <x:f>IF(OR(G64="",H64=""),"",ROUND(G64*H64,0))</x:f>
        <x:v>71000</x:v>
      </x:c>
      <x:c r="K64" s="13" t="n">
        <x:f>IF(OR(I64="",J64=""),"",I64-J64)</x:f>
        <x:v>0</x:v>
      </x:c>
      <x:c r="L64" s="9" t="str"/>
      <x:c r="M64" s="9" t="n">
        <x:v>4</x:v>
      </x:c>
      <x:c r="N64" s="9" t="str">
        <x:v>工程明細</x:v>
      </x:c>
      <x:c r="O64" s="9" t="str">
        <x:v>鋼構工程</x:v>
      </x:c>
      <x:c r="P64" s="9" t="str"/>
    </x:row>
    <x:row r="65" ht="15" customHeight="1">
      <x:c r="A65" s="10" t="str">
        <x:v>lidong-060</x:v>
      </x:c>
      <x:c r="B65" s="10" t="str">
        <x:v>泥作裝修工程</x:v>
      </x:c>
      <x:c r="C65" s="10" t="str">
        <x:v>防水工程</x:v>
      </x:c>
      <x:c r="D65" s="10" t="str">
        <x:v>1</x:v>
      </x:c>
      <x:c r="E65" s="10" t="str">
        <x:v>電梯機坑1:2 防水粉刷 (五面)</x:v>
      </x:c>
      <x:c r="F65" s="10" t="str">
        <x:v>M2</x:v>
      </x:c>
      <x:c r="G65" s="17" t="n">
        <x:v>65</x:v>
      </x:c>
      <x:c r="H65" s="17" t="n">
        <x:v>600</x:v>
      </x:c>
      <x:c r="I65" s="18" t="n">
        <x:v>39000</x:v>
      </x:c>
      <x:c r="J65" s="14" t="n">
        <x:f>IF(OR(G65="",H65=""),"",ROUND(G65*H65,0))</x:f>
        <x:v>39000</x:v>
      </x:c>
      <x:c r="K65" s="14" t="n">
        <x:f>IF(OR(I65="",J65=""),"",I65-J65)</x:f>
        <x:v>0</x:v>
      </x:c>
      <x:c r="L65" s="10" t="str">
        <x:v>泥作打底上防水劑</x:v>
      </x:c>
      <x:c r="M65" s="10" t="n">
        <x:v>4</x:v>
      </x:c>
      <x:c r="N65" s="10" t="str">
        <x:v>工程明細</x:v>
      </x:c>
      <x:c r="O65" s="10" t="str">
        <x:v>內外裝修及防水</x:v>
      </x:c>
      <x:c r="P65" s="10" t="str"/>
    </x:row>
    <x:row r="66" ht="15" customHeight="1">
      <x:c r="A66" s="9" t="str">
        <x:v>lidong-061</x:v>
      </x:c>
      <x:c r="B66" s="9" t="str">
        <x:v>泥作裝修工程</x:v>
      </x:c>
      <x:c r="C66" s="9" t="str">
        <x:v>防水工程</x:v>
      </x:c>
      <x:c r="D66" s="9" t="str">
        <x:v>2</x:v>
      </x:c>
      <x:c r="E66" s="9" t="str">
        <x:v>消防水池坑1:2 防水粉刷 (五面)</x:v>
      </x:c>
      <x:c r="F66" s="9" t="str">
        <x:v>M2</x:v>
      </x:c>
      <x:c r="G66" s="15" t="n">
        <x:v>55</x:v>
      </x:c>
      <x:c r="H66" s="15" t="n">
        <x:v>600</x:v>
      </x:c>
      <x:c r="I66" s="16" t="n">
        <x:v>33000</x:v>
      </x:c>
      <x:c r="J66" s="13" t="n">
        <x:f>IF(OR(G66="",H66=""),"",ROUND(G66*H66,0))</x:f>
        <x:v>33000</x:v>
      </x:c>
      <x:c r="K66" s="13" t="n">
        <x:f>IF(OR(I66="",J66=""),"",I66-J66)</x:f>
        <x:v>0</x:v>
      </x:c>
      <x:c r="L66" s="9" t="str">
        <x:v>泥作打底上防水劑</x:v>
      </x:c>
      <x:c r="M66" s="9" t="n">
        <x:v>4</x:v>
      </x:c>
      <x:c r="N66" s="9" t="str">
        <x:v>工程明細</x:v>
      </x:c>
      <x:c r="O66" s="9" t="str">
        <x:v>內外裝修及防水</x:v>
      </x:c>
      <x:c r="P66" s="9" t="str"/>
    </x:row>
    <x:row r="67" ht="15" customHeight="1">
      <x:c r="A67" s="10" t="str">
        <x:v>lidong-062</x:v>
      </x:c>
      <x:c r="B67" s="10" t="str">
        <x:v>泥作裝修工程</x:v>
      </x:c>
      <x:c r="C67" s="10" t="str">
        <x:v>防水工程</x:v>
      </x:c>
      <x:c r="D67" s="10" t="str">
        <x:v>3</x:v>
      </x:c>
      <x:c r="E67" s="10" t="str">
        <x:v>廁所地坪及牆面H=120cm 彈性水泥防水層</x:v>
      </x:c>
      <x:c r="F67" s="10" t="str">
        <x:v>M2</x:v>
      </x:c>
      <x:c r="G67" s="17" t="n">
        <x:v>253</x:v>
      </x:c>
      <x:c r="H67" s="17" t="n">
        <x:v>340</x:v>
      </x:c>
      <x:c r="I67" s="18" t="n">
        <x:v>86021</x:v>
      </x:c>
      <x:c r="J67" s="14" t="n">
        <x:f>IF(OR(G67="",H67=""),"",ROUND(G67*H67,0))</x:f>
        <x:v>86020</x:v>
      </x:c>
      <x:c r="K67" s="14" t="n">
        <x:f>IF(OR(I67="",J67=""),"",I67-J67)</x:f>
        <x:v>1</x:v>
      </x:c>
      <x:c r="L67" s="10" t="str">
        <x:v>彈泥-一底二塗</x:v>
      </x:c>
      <x:c r="M67" s="10" t="n">
        <x:v>4</x:v>
      </x:c>
      <x:c r="N67" s="10" t="str">
        <x:v>工程明細</x:v>
      </x:c>
      <x:c r="O67" s="10" t="str">
        <x:v>內外裝修及防水</x:v>
      </x:c>
      <x:c r="P67" s="10" t="str"/>
    </x:row>
    <x:row r="68" ht="15" customHeight="1">
      <x:c r="A68" s="9" t="str">
        <x:v>lidong-063</x:v>
      </x:c>
      <x:c r="B68" s="9" t="str">
        <x:v>泥作裝修工程</x:v>
      </x:c>
      <x:c r="C68" s="9" t="str">
        <x:v>防水工程</x:v>
      </x:c>
      <x:c r="D68" s="9" t="str">
        <x:v>4</x:v>
      </x:c>
      <x:c r="E68" s="9" t="str">
        <x:v>陽台地坪防水處理 (含滾高)</x:v>
      </x:c>
      <x:c r="F68" s="9" t="str">
        <x:v>M2</x:v>
      </x:c>
      <x:c r="G68" s="15" t="n">
        <x:v>35</x:v>
      </x:c>
      <x:c r="H68" s="15" t="n">
        <x:v>880</x:v>
      </x:c>
      <x:c r="I68" s="16" t="n">
        <x:v>30800</x:v>
      </x:c>
      <x:c r="J68" s="13" t="n">
        <x:f>IF(OR(G68="",H68=""),"",ROUND(G68*H68,0))</x:f>
        <x:v>30800</x:v>
      </x:c>
      <x:c r="K68" s="13" t="n">
        <x:f>IF(OR(I68="",J68=""),"",I68-J68)</x:f>
        <x:v>0</x:v>
      </x:c>
      <x:c r="L68" s="9" t="str">
        <x:v>彈泥-五道處理(全面 貼纖維網)</x:v>
      </x:c>
      <x:c r="M68" s="9" t="n">
        <x:v>4</x:v>
      </x:c>
      <x:c r="N68" s="9" t="str">
        <x:v>工程明細</x:v>
      </x:c>
      <x:c r="O68" s="9" t="str">
        <x:v>內外裝修及防水</x:v>
      </x:c>
      <x:c r="P68" s="9" t="str"/>
    </x:row>
    <x:row r="69" ht="15" customHeight="1">
      <x:c r="A69" s="10" t="str">
        <x:v>lidong-064</x:v>
      </x:c>
      <x:c r="B69" s="10" t="str">
        <x:v>泥作裝修工程</x:v>
      </x:c>
      <x:c r="C69" s="10" t="str">
        <x:v>防水工程</x:v>
      </x:c>
      <x:c r="D69" s="10" t="str">
        <x:v>5</x:v>
      </x:c>
      <x:c r="E69" s="10" t="str">
        <x:v>屋頂平台防水處理 (含滾高)</x:v>
      </x:c>
      <x:c r="F69" s="10" t="str">
        <x:v>M2</x:v>
      </x:c>
      <x:c r="G69" s="17" t="n">
        <x:v>1889</x:v>
      </x:c>
      <x:c r="H69" s="17" t="n">
        <x:v>880</x:v>
      </x:c>
      <x:c r="I69" s="18" t="n">
        <x:v>1662322</x:v>
      </x:c>
      <x:c r="J69" s="14" t="n">
        <x:f>IF(OR(G69="",H69=""),"",ROUND(G69*H69,0))</x:f>
        <x:v>1662320</x:v>
      </x:c>
      <x:c r="K69" s="14" t="n">
        <x:f>IF(OR(I69="",J69=""),"",I69-J69)</x:f>
        <x:v>2</x:v>
      </x:c>
      <x:c r="L69" s="10" t="str">
        <x:v>彈泥-五道處理(全面 貼纖維網)</x:v>
      </x:c>
      <x:c r="M69" s="10" t="n">
        <x:v>4</x:v>
      </x:c>
      <x:c r="N69" s="10" t="str">
        <x:v>工程明細</x:v>
      </x:c>
      <x:c r="O69" s="10" t="str">
        <x:v>內外裝修及防水</x:v>
      </x:c>
      <x:c r="P69" s="10" t="str">
        <x:v>原複價與四捨五入乘算差額 2 元；保留原值，請確認底層精度。</x:v>
      </x:c>
    </x:row>
    <x:row r="70" ht="15" customHeight="1">
      <x:c r="A70" s="9" t="str">
        <x:v>lidong-065</x:v>
      </x:c>
      <x:c r="B70" s="9" t="str">
        <x:v>泥作裝修工程</x:v>
      </x:c>
      <x:c r="C70" s="9" t="str">
        <x:v>防水工程</x:v>
      </x:c>
      <x:c r="D70" s="9" t="str">
        <x:v>6</x:v>
      </x:c>
      <x:c r="E70" s="9" t="str">
        <x:v>屋面防水處理 (含滾高)</x:v>
      </x:c>
      <x:c r="F70" s="9" t="str">
        <x:v>M2</x:v>
      </x:c>
      <x:c r="G70" s="15" t="n">
        <x:v>63</x:v>
      </x:c>
      <x:c r="H70" s="15" t="n">
        <x:v>880</x:v>
      </x:c>
      <x:c r="I70" s="16" t="n">
        <x:v>55440</x:v>
      </x:c>
      <x:c r="J70" s="13" t="n">
        <x:f>IF(OR(G70="",H70=""),"",ROUND(G70*H70,0))</x:f>
        <x:v>55440</x:v>
      </x:c>
      <x:c r="K70" s="13" t="n">
        <x:f>IF(OR(I70="",J70=""),"",I70-J70)</x:f>
        <x:v>0</x:v>
      </x:c>
      <x:c r="L70" s="9" t="str">
        <x:v>彈泥-五道處理(全面 貼纖維網)</x:v>
      </x:c>
      <x:c r="M70" s="9" t="n">
        <x:v>4</x:v>
      </x:c>
      <x:c r="N70" s="9" t="str">
        <x:v>工程明細</x:v>
      </x:c>
      <x:c r="O70" s="9" t="str">
        <x:v>內外裝修及防水</x:v>
      </x:c>
      <x:c r="P70" s="9" t="str"/>
    </x:row>
    <x:row r="71" ht="15" customHeight="1">
      <x:c r="A71" s="10" t="str">
        <x:v>lidong-066</x:v>
      </x:c>
      <x:c r="B71" s="10" t="str">
        <x:v>泥作裝修工程</x:v>
      </x:c>
      <x:c r="C71" s="10" t="str">
        <x:v>防水工程</x:v>
      </x:c>
      <x:c r="D71" s="10" t="str">
        <x:v>7</x:v>
      </x:c>
      <x:c r="E71" s="10" t="str">
        <x:v>外牆窗框防水</x:v>
      </x:c>
      <x:c r="F71" s="10" t="str">
        <x:v>M</x:v>
      </x:c>
      <x:c r="G71" s="17" t="n">
        <x:v>679</x:v>
      </x:c>
      <x:c r="H71" s="17" t="n">
        <x:v>390</x:v>
      </x:c>
      <x:c r="I71" s="18" t="n">
        <x:v>264810</x:v>
      </x:c>
      <x:c r="J71" s="14" t="n">
        <x:f>IF(OR(G71="",H71=""),"",ROUND(G71*H71,0))</x:f>
        <x:v>264810</x:v>
      </x:c>
      <x:c r="K71" s="14" t="n">
        <x:f>IF(OR(I71="",J71=""),"",I71-J71)</x:f>
        <x:v>0</x:v>
      </x:c>
      <x:c r="L71" s="10" t="str">
        <x:v>彈泥-結構體四道+粉 刷層三道</x:v>
      </x:c>
      <x:c r="M71" s="10" t="n">
        <x:v>4</x:v>
      </x:c>
      <x:c r="N71" s="10" t="str">
        <x:v>工程明細</x:v>
      </x:c>
      <x:c r="O71" s="10" t="str">
        <x:v>內外裝修及防水</x:v>
      </x:c>
      <x:c r="P71" s="10" t="str"/>
    </x:row>
    <x:row r="72" ht="15" customHeight="1">
      <x:c r="A72" s="9" t="str">
        <x:v>lidong-067</x:v>
      </x:c>
      <x:c r="B72" s="9" t="str">
        <x:v>泥作裝修工程</x:v>
      </x:c>
      <x:c r="C72" s="9" t="str">
        <x:v>防水工程</x:v>
      </x:c>
      <x:c r="D72" s="9" t="str">
        <x:v>8</x:v>
      </x:c>
      <x:c r="E72" s="9" t="str">
        <x:v>外牆樓層接縫防水</x:v>
      </x:c>
      <x:c r="F72" s="9" t="str">
        <x:v>M</x:v>
      </x:c>
      <x:c r="G72" s="15" t="n">
        <x:v>545</x:v>
      </x:c>
      <x:c r="H72" s="15" t="n">
        <x:v>230</x:v>
      </x:c>
      <x:c r="I72" s="16" t="n">
        <x:v>125350</x:v>
      </x:c>
      <x:c r="J72" s="13" t="n">
        <x:f>IF(OR(G72="",H72=""),"",ROUND(G72*H72,0))</x:f>
        <x:v>125350</x:v>
      </x:c>
      <x:c r="K72" s="13" t="n">
        <x:f>IF(OR(I72="",J72=""),"",I72-J72)</x:f>
        <x:v>0</x:v>
      </x:c>
      <x:c r="L72" s="9" t="str">
        <x:v>彈泥-結構體四道處 理</x:v>
      </x:c>
      <x:c r="M72" s="9" t="n">
        <x:v>4</x:v>
      </x:c>
      <x:c r="N72" s="9" t="str">
        <x:v>工程明細</x:v>
      </x:c>
      <x:c r="O72" s="9" t="str">
        <x:v>內外裝修及防水</x:v>
      </x:c>
      <x:c r="P72" s="9" t="str"/>
    </x:row>
    <x:row r="73" ht="15" customHeight="1">
      <x:c r="A73" s="10" t="str">
        <x:v>lidong-068</x:v>
      </x:c>
      <x:c r="B73" s="10" t="str">
        <x:v>泥作裝修工程</x:v>
      </x:c>
      <x:c r="C73" s="10" t="str">
        <x:v>地坪裝修工程</x:v>
      </x:c>
      <x:c r="D73" s="10" t="str">
        <x:v>1</x:v>
      </x:c>
      <x:c r="E73" s="10" t="str">
        <x:v>地坪1:2 水泥砂漿+ 止滑石英磚(30*30)</x:v>
      </x:c>
      <x:c r="F73" s="10" t="str">
        <x:v>M2</x:v>
      </x:c>
      <x:c r="G73" s="17" t="n">
        <x:v>92</x:v>
      </x:c>
      <x:c r="H73" s="17" t="n">
        <x:v>1500</x:v>
      </x:c>
      <x:c r="I73" s="18" t="n">
        <x:v>138000</x:v>
      </x:c>
      <x:c r="J73" s="14" t="n">
        <x:f>IF(OR(G73="",H73=""),"",ROUND(G73*H73,0))</x:f>
        <x:v>138000</x:v>
      </x:c>
      <x:c r="K73" s="14" t="n">
        <x:f>IF(OR(I73="",J73=""),"",I73-J73)</x:f>
        <x:v>0</x:v>
      </x:c>
      <x:c r="L73" s="10" t="str">
        <x:v>磁磚材料：30元/片 (國產)</x:v>
      </x:c>
      <x:c r="M73" s="10" t="n">
        <x:v>4</x:v>
      </x:c>
      <x:c r="N73" s="10" t="str">
        <x:v>工程明細</x:v>
      </x:c>
      <x:c r="O73" s="10" t="str">
        <x:v>內外裝修及防水</x:v>
      </x:c>
      <x:c r="P73" s="10" t="str"/>
    </x:row>
    <x:row r="74" ht="15" customHeight="1">
      <x:c r="A74" s="9" t="str">
        <x:v>lidong-069</x:v>
      </x:c>
      <x:c r="B74" s="9" t="str">
        <x:v>泥作裝修工程</x:v>
      </x:c>
      <x:c r="C74" s="9" t="str">
        <x:v>地坪裝修工程</x:v>
      </x:c>
      <x:c r="D74" s="9" t="str">
        <x:v>2</x:v>
      </x:c>
      <x:c r="E74" s="9" t="str">
        <x:v>地坪1:3 水泥砂漿+ 石英磚(30*30)</x:v>
      </x:c>
      <x:c r="F74" s="9" t="str">
        <x:v>M2</x:v>
      </x:c>
      <x:c r="G74" s="15" t="n">
        <x:v>162</x:v>
      </x:c>
      <x:c r="H74" s="15" t="n">
        <x:v>1500</x:v>
      </x:c>
      <x:c r="I74" s="16" t="n">
        <x:v>243000</x:v>
      </x:c>
      <x:c r="J74" s="13" t="n">
        <x:f>IF(OR(G74="",H74=""),"",ROUND(G74*H74,0))</x:f>
        <x:v>243000</x:v>
      </x:c>
      <x:c r="K74" s="13" t="n">
        <x:f>IF(OR(I74="",J74=""),"",I74-J74)</x:f>
        <x:v>0</x:v>
      </x:c>
      <x:c r="L74" s="9" t="str">
        <x:v>磁磚材料：30元/片 (國產)</x:v>
      </x:c>
      <x:c r="M74" s="9" t="n">
        <x:v>4</x:v>
      </x:c>
      <x:c r="N74" s="9" t="str">
        <x:v>工程明細</x:v>
      </x:c>
      <x:c r="O74" s="9" t="str">
        <x:v>內外裝修及防水</x:v>
      </x:c>
      <x:c r="P74" s="9" t="str"/>
    </x:row>
    <x:row r="75" ht="15" customHeight="1">
      <x:c r="A75" s="10" t="str">
        <x:v>lidong-070</x:v>
      </x:c>
      <x:c r="B75" s="10" t="str">
        <x:v>泥作裝修工程</x:v>
      </x:c>
      <x:c r="C75" s="10" t="str">
        <x:v>地坪裝修工程</x:v>
      </x:c>
      <x:c r="D75" s="10" t="str">
        <x:v>3</x:v>
      </x:c>
      <x:c r="E75" s="10" t="str">
        <x:v>地坪整體粉光+EPOXY (色另選)</x:v>
      </x:c>
      <x:c r="F75" s="10" t="str">
        <x:v>M2</x:v>
      </x:c>
      <x:c r="G75" s="17" t="n">
        <x:v>2854</x:v>
      </x:c>
      <x:c r="H75" s="17" t="n">
        <x:v>1240</x:v>
      </x:c>
      <x:c r="I75" s="18" t="n">
        <x:v>3538960</x:v>
      </x:c>
      <x:c r="J75" s="14" t="n">
        <x:f>IF(OR(G75="",H75=""),"",ROUND(G75*H75,0))</x:f>
        <x:v>3538960</x:v>
      </x:c>
      <x:c r="K75" s="14" t="n">
        <x:f>IF(OR(I75="",J75=""),"",I75-J75)</x:f>
        <x:v>0</x:v>
      </x:c>
      <x:c r="L75" s="10" t="str">
        <x:v>標高器：吸管式 (5mmEPOXY)</x:v>
      </x:c>
      <x:c r="M75" s="10" t="n">
        <x:v>4</x:v>
      </x:c>
      <x:c r="N75" s="10" t="str">
        <x:v>工程明細</x:v>
      </x:c>
      <x:c r="O75" s="10" t="str">
        <x:v>內外裝修及防水</x:v>
      </x:c>
      <x:c r="P75" s="10" t="str"/>
    </x:row>
    <x:row r="76" ht="15" customHeight="1">
      <x:c r="A76" s="9" t="str">
        <x:v>lidong-071</x:v>
      </x:c>
      <x:c r="B76" s="9" t="str">
        <x:v>泥作裝修工程</x:v>
      </x:c>
      <x:c r="C76" s="9" t="str">
        <x:v>地坪裝修工程</x:v>
      </x:c>
      <x:c r="D76" s="9" t="str">
        <x:v>4</x:v>
      </x:c>
      <x:c r="E76" s="9" t="str">
        <x:v>地坪1:3 水泥砂漿+ 止滑雙色樓梯磚(20*27)</x:v>
      </x:c>
      <x:c r="F76" s="9" t="str">
        <x:v>M2</x:v>
      </x:c>
      <x:c r="G76" s="15" t="n">
        <x:v>144</x:v>
      </x:c>
      <x:c r="H76" s="15" t="n">
        <x:v>1930</x:v>
      </x:c>
      <x:c r="I76" s="16" t="n">
        <x:v>277920</x:v>
      </x:c>
      <x:c r="J76" s="13" t="n">
        <x:f>IF(OR(G76="",H76=""),"",ROUND(G76*H76,0))</x:f>
        <x:v>277920</x:v>
      </x:c>
      <x:c r="K76" s="13" t="n">
        <x:f>IF(OR(I76="",J76=""),"",I76-J76)</x:f>
        <x:v>0</x:v>
      </x:c>
      <x:c r="L76" s="9" t="str">
        <x:v>20*20-9元/片(國產) 20*27-19元/片(國產)</x:v>
      </x:c>
      <x:c r="M76" s="9" t="n">
        <x:v>4</x:v>
      </x:c>
      <x:c r="N76" s="9" t="str">
        <x:v>工程明細</x:v>
      </x:c>
      <x:c r="O76" s="9" t="str">
        <x:v>內外裝修及防水</x:v>
      </x:c>
      <x:c r="P76" s="9" t="str"/>
    </x:row>
    <x:row r="77" ht="15" customHeight="1">
      <x:c r="A77" s="10" t="str">
        <x:v>lidong-072</x:v>
      </x:c>
      <x:c r="B77" s="10" t="str">
        <x:v>泥作裝修工程</x:v>
      </x:c>
      <x:c r="C77" s="10" t="str">
        <x:v>地坪裝修工程</x:v>
      </x:c>
      <x:c r="D77" s="10" t="str">
        <x:v>5</x:v>
      </x:c>
      <x:c r="E77" s="10" t="str">
        <x:v>地坪1:3 水泥砂漿+ 石英磚(60*60)</x:v>
      </x:c>
      <x:c r="F77" s="10" t="str">
        <x:v>M2</x:v>
      </x:c>
      <x:c r="G77" s="17" t="n">
        <x:v>379</x:v>
      </x:c>
      <x:c r="H77" s="17" t="n">
        <x:v>1530</x:v>
      </x:c>
      <x:c r="I77" s="18" t="n">
        <x:v>579868</x:v>
      </x:c>
      <x:c r="J77" s="14" t="n">
        <x:f>IF(OR(G77="",H77=""),"",ROUND(G77*H77,0))</x:f>
        <x:v>579870</x:v>
      </x:c>
      <x:c r="K77" s="14" t="n">
        <x:f>IF(OR(I77="",J77=""),"",I77-J77)</x:f>
        <x:v>-2</x:v>
      </x:c>
      <x:c r="L77" s="10" t="str">
        <x:v>磁磚材料：130元/片 (國產)</x:v>
      </x:c>
      <x:c r="M77" s="10" t="n">
        <x:v>4</x:v>
      </x:c>
      <x:c r="N77" s="10" t="str">
        <x:v>工程明細</x:v>
      </x:c>
      <x:c r="O77" s="10" t="str">
        <x:v>內外裝修及防水</x:v>
      </x:c>
      <x:c r="P77" s="10" t="str">
        <x:v>原複價與四捨五入乘算差額 -2 元；保留原值，請確認底層精度。</x:v>
      </x:c>
    </x:row>
    <x:row r="78" ht="15" customHeight="1">
      <x:c r="A78" s="9" t="str">
        <x:v>lidong-073</x:v>
      </x:c>
      <x:c r="B78" s="9" t="str">
        <x:v>泥作裝修工程</x:v>
      </x:c>
      <x:c r="C78" s="9" t="str">
        <x:v>地坪裝修工程</x:v>
      </x:c>
      <x:c r="D78" s="9" t="str">
        <x:v>6</x:v>
      </x:c>
      <x:c r="E78" s="9" t="str">
        <x:v>地坪1:3 水泥砂漿+ 大板石英磚(60*120)</x:v>
      </x:c>
      <x:c r="F78" s="9" t="str">
        <x:v>M2</x:v>
      </x:c>
      <x:c r="G78" s="15" t="n">
        <x:v>154</x:v>
      </x:c>
      <x:c r="H78" s="15" t="n">
        <x:v>2070</x:v>
      </x:c>
      <x:c r="I78" s="16" t="n">
        <x:v>318780</x:v>
      </x:c>
      <x:c r="J78" s="13" t="n">
        <x:f>IF(OR(G78="",H78=""),"",ROUND(G78*H78,0))</x:f>
        <x:v>318780</x:v>
      </x:c>
      <x:c r="K78" s="13" t="n">
        <x:f>IF(OR(I78="",J78=""),"",I78-J78)</x:f>
        <x:v>0</x:v>
      </x:c>
      <x:c r="L78" s="9" t="str">
        <x:v>磁磚材料：400元/片 (國產)</x:v>
      </x:c>
      <x:c r="M78" s="9" t="n">
        <x:v>4</x:v>
      </x:c>
      <x:c r="N78" s="9" t="str">
        <x:v>工程明細</x:v>
      </x:c>
      <x:c r="O78" s="9" t="str">
        <x:v>內外裝修及防水</x:v>
      </x:c>
      <x:c r="P78" s="9" t="str"/>
    </x:row>
    <x:row r="79" ht="15" customHeight="1">
      <x:c r="A79" s="10" t="str">
        <x:v>lidong-074</x:v>
      </x:c>
      <x:c r="B79" s="10" t="str">
        <x:v>泥作裝修工程</x:v>
      </x:c>
      <x:c r="C79" s="10" t="str">
        <x:v>地坪裝修工程</x:v>
      </x:c>
      <x:c r="D79" s="10" t="str">
        <x:v>7</x:v>
      </x:c>
      <x:c r="E79" s="10" t="str">
        <x:v>地坪1:3 水泥砂漿+ 止滑石英磚(30*30)</x:v>
      </x:c>
      <x:c r="F79" s="10" t="str">
        <x:v>M2</x:v>
      </x:c>
      <x:c r="G79" s="17" t="n">
        <x:v>27</x:v>
      </x:c>
      <x:c r="H79" s="17" t="n">
        <x:v>1500</x:v>
      </x:c>
      <x:c r="I79" s="18" t="n">
        <x:v>40500</x:v>
      </x:c>
      <x:c r="J79" s="14" t="n">
        <x:f>IF(OR(G79="",H79=""),"",ROUND(G79*H79,0))</x:f>
        <x:v>40500</x:v>
      </x:c>
      <x:c r="K79" s="14" t="n">
        <x:f>IF(OR(I79="",J79=""),"",I79-J79)</x:f>
        <x:v>0</x:v>
      </x:c>
      <x:c r="L79" s="10" t="str">
        <x:v>磁磚材料：30元/片 (國產)</x:v>
      </x:c>
      <x:c r="M79" s="10" t="n">
        <x:v>4</x:v>
      </x:c>
      <x:c r="N79" s="10" t="str">
        <x:v>工程明細</x:v>
      </x:c>
      <x:c r="O79" s="10" t="str">
        <x:v>內外裝修及防水</x:v>
      </x:c>
      <x:c r="P79" s="10" t="str"/>
    </x:row>
    <x:row r="80" ht="15" customHeight="1">
      <x:c r="A80" s="9" t="str">
        <x:v>lidong-075</x:v>
      </x:c>
      <x:c r="B80" s="9" t="str">
        <x:v>泥作裝修工程</x:v>
      </x:c>
      <x:c r="C80" s="9" t="str">
        <x:v>地坪裝修工程</x:v>
      </x:c>
      <x:c r="D80" s="9" t="str">
        <x:v>8</x:v>
      </x:c>
      <x:c r="E80" s="9" t="str">
        <x:v>地坪1:3 水泥砂漿+ 止滑石英磚(30*60)</x:v>
      </x:c>
      <x:c r="F80" s="9" t="str">
        <x:v>M2</x:v>
      </x:c>
      <x:c r="G80" s="15" t="n">
        <x:v>228</x:v>
      </x:c>
      <x:c r="H80" s="15" t="n">
        <x:v>1490</x:v>
      </x:c>
      <x:c r="I80" s="16" t="n">
        <x:v>339719</x:v>
      </x:c>
      <x:c r="J80" s="13" t="n">
        <x:f>IF(OR(G80="",H80=""),"",ROUND(G80*H80,0))</x:f>
        <x:v>339720</x:v>
      </x:c>
      <x:c r="K80" s="13" t="n">
        <x:f>IF(OR(I80="",J80=""),"",I80-J80)</x:f>
        <x:v>-1</x:v>
      </x:c>
      <x:c r="L80" s="9" t="str">
        <x:v>磁磚材料：58元/片 (國產)</x:v>
      </x:c>
      <x:c r="M80" s="9" t="n">
        <x:v>4</x:v>
      </x:c>
      <x:c r="N80" s="9" t="str">
        <x:v>工程明細</x:v>
      </x:c>
      <x:c r="O80" s="9" t="str">
        <x:v>內外裝修及防水</x:v>
      </x:c>
      <x:c r="P80" s="9" t="str"/>
    </x:row>
    <x:row r="81" ht="15" customHeight="1">
      <x:c r="A81" s="10" t="str">
        <x:v>lidong-076</x:v>
      </x:c>
      <x:c r="B81" s="10" t="str">
        <x:v>泥作裝修工程</x:v>
      </x:c>
      <x:c r="C81" s="10" t="str">
        <x:v>地坪裝修工程</x:v>
      </x:c>
      <x:c r="D81" s="10" t="str">
        <x:v>9</x:v>
      </x:c>
      <x:c r="E81" s="10" t="str">
        <x:v>地坪1:3 水泥砂漿+1.5cm厚磚(30*30)</x:v>
      </x:c>
      <x:c r="F81" s="10" t="str">
        <x:v>M2</x:v>
      </x:c>
      <x:c r="G81" s="17" t="n">
        <x:v>1765</x:v>
      </x:c>
      <x:c r="H81" s="17" t="n">
        <x:v>2060</x:v>
      </x:c>
      <x:c r="I81" s="18" t="n">
        <x:v>3635900</x:v>
      </x:c>
      <x:c r="J81" s="14" t="n">
        <x:f>IF(OR(G81="",H81=""),"",ROUND(G81*H81,0))</x:f>
        <x:v>3635900</x:v>
      </x:c>
      <x:c r="K81" s="14" t="n">
        <x:f>IF(OR(I81="",J81=""),"",I81-J81)</x:f>
        <x:v>0</x:v>
      </x:c>
      <x:c r="L81" s="10" t="str">
        <x:v>磁磚材料：80元/片 (國產)</x:v>
      </x:c>
      <x:c r="M81" s="10" t="n">
        <x:v>4</x:v>
      </x:c>
      <x:c r="N81" s="10" t="str">
        <x:v>工程明細</x:v>
      </x:c>
      <x:c r="O81" s="10" t="str">
        <x:v>內外裝修及防水</x:v>
      </x:c>
      <x:c r="P81" s="10" t="str"/>
    </x:row>
    <x:row r="82" ht="15" customHeight="1">
      <x:c r="A82" s="9" t="str">
        <x:v>lidong-077</x:v>
      </x:c>
      <x:c r="B82" s="9" t="str">
        <x:v>泥作裝修工程</x:v>
      </x:c>
      <x:c r="C82" s="9" t="str">
        <x:v>地坪裝修工程</x:v>
      </x:c>
      <x:c r="D82" s="9" t="str">
        <x:v>10</x:v>
      </x:c>
      <x:c r="E82" s="9" t="str">
        <x:v>地坪1:3 水泥砂漿+ 石英磚(30*60)</x:v>
      </x:c>
      <x:c r="F82" s="9" t="str">
        <x:v>M2</x:v>
      </x:c>
      <x:c r="G82" s="15" t="n">
        <x:v>68</x:v>
      </x:c>
      <x:c r="H82" s="15" t="n">
        <x:v>1490</x:v>
      </x:c>
      <x:c r="I82" s="16" t="n">
        <x:v>101320</x:v>
      </x:c>
      <x:c r="J82" s="13" t="n">
        <x:f>IF(OR(G82="",H82=""),"",ROUND(G82*H82,0))</x:f>
        <x:v>101320</x:v>
      </x:c>
      <x:c r="K82" s="13" t="n">
        <x:f>IF(OR(I82="",J82=""),"",I82-J82)</x:f>
        <x:v>0</x:v>
      </x:c>
      <x:c r="L82" s="9" t="str">
        <x:v>磁磚材料：58元/片 (國產)</x:v>
      </x:c>
      <x:c r="M82" s="9" t="n">
        <x:v>5</x:v>
      </x:c>
      <x:c r="N82" s="9" t="str">
        <x:v>工程明細</x:v>
      </x:c>
      <x:c r="O82" s="9" t="str">
        <x:v>內外裝修及防水</x:v>
      </x:c>
      <x:c r="P82" s="9" t="str"/>
    </x:row>
    <x:row r="83" ht="15" customHeight="1">
      <x:c r="A83" s="10" t="str">
        <x:v>lidong-078</x:v>
      </x:c>
      <x:c r="B83" s="10" t="str">
        <x:v>泥作裝修工程</x:v>
      </x:c>
      <x:c r="C83" s="10" t="str">
        <x:v>地坪裝修工程</x:v>
      </x:c>
      <x:c r="D83" s="10" t="str">
        <x:v>11</x:v>
      </x:c>
      <x:c r="E83" s="10" t="str">
        <x:v>屋面地坪整體粉光</x:v>
      </x:c>
      <x:c r="F83" s="10" t="str">
        <x:v>M2</x:v>
      </x:c>
      <x:c r="G83" s="17" t="n">
        <x:v>49</x:v>
      </x:c>
      <x:c r="H83" s="17" t="n">
        <x:v>110</x:v>
      </x:c>
      <x:c r="I83" s="18" t="n">
        <x:v>5390</x:v>
      </x:c>
      <x:c r="J83" s="14" t="n">
        <x:f>IF(OR(G83="",H83=""),"",ROUND(G83*H83,0))</x:f>
        <x:v>5390</x:v>
      </x:c>
      <x:c r="K83" s="14" t="n">
        <x:f>IF(OR(I83="",J83=""),"",I83-J83)</x:f>
        <x:v>0</x:v>
      </x:c>
      <x:c r="L83" s="10" t="str">
        <x:v>標高器：吸管式</x:v>
      </x:c>
      <x:c r="M83" s="10" t="n">
        <x:v>5</x:v>
      </x:c>
      <x:c r="N83" s="10" t="str">
        <x:v>工程明細</x:v>
      </x:c>
      <x:c r="O83" s="10" t="str">
        <x:v>內外裝修及防水</x:v>
      </x:c>
      <x:c r="P83" s="10" t="str"/>
    </x:row>
    <x:row r="84" ht="15" customHeight="1">
      <x:c r="A84" s="9" t="str">
        <x:v>lidong-079</x:v>
      </x:c>
      <x:c r="B84" s="9" t="str">
        <x:v>泥作裝修工程</x:v>
      </x:c>
      <x:c r="C84" s="9" t="str">
        <x:v>地坪裝修工程</x:v>
      </x:c>
      <x:c r="D84" s="9" t="str">
        <x:v>12</x:v>
      </x:c>
      <x:c r="E84" s="9" t="str">
        <x:v>地坪打底抿石子</x:v>
      </x:c>
      <x:c r="F84" s="9" t="str">
        <x:v>M2</x:v>
      </x:c>
      <x:c r="G84" s="15" t="n">
        <x:v>29</x:v>
      </x:c>
      <x:c r="H84" s="15" t="n">
        <x:v>1640</x:v>
      </x:c>
      <x:c r="I84" s="16" t="n">
        <x:v>47560</x:v>
      </x:c>
      <x:c r="J84" s="13" t="n">
        <x:f>IF(OR(G84="",H84=""),"",ROUND(G84*H84,0))</x:f>
        <x:v>47560</x:v>
      </x:c>
      <x:c r="K84" s="13" t="n">
        <x:f>IF(OR(I84="",J84=""),"",I84-J84)</x:f>
        <x:v>0</x:v>
      </x:c>
      <x:c r="L84" s="9" t="str">
        <x:v>無障礙坡道及階梯</x:v>
      </x:c>
      <x:c r="M84" s="9" t="n">
        <x:v>5</x:v>
      </x:c>
      <x:c r="N84" s="9" t="str">
        <x:v>工程明細</x:v>
      </x:c>
      <x:c r="O84" s="9" t="str">
        <x:v>內外裝修及防水</x:v>
      </x:c>
      <x:c r="P84" s="9" t="str"/>
    </x:row>
    <x:row r="85" ht="15" customHeight="1">
      <x:c r="A85" s="10" t="str">
        <x:v>lidong-080</x:v>
      </x:c>
      <x:c r="B85" s="10" t="str">
        <x:v>泥作裝修工程</x:v>
      </x:c>
      <x:c r="C85" s="10" t="str">
        <x:v>平頂裝修工程</x:v>
      </x:c>
      <x:c r="D85" s="10" t="str">
        <x:v>1</x:v>
      </x:c>
      <x:c r="E85" s="10" t="str">
        <x:v>明架礦纖天花板(60*60)</x:v>
      </x:c>
      <x:c r="F85" s="10" t="str">
        <x:v>M2</x:v>
      </x:c>
      <x:c r="G85" s="17" t="n">
        <x:v>937</x:v>
      </x:c>
      <x:c r="H85" s="17" t="n">
        <x:v>570</x:v>
      </x:c>
      <x:c r="I85" s="18" t="n">
        <x:v>534090</x:v>
      </x:c>
      <x:c r="J85" s="14" t="n">
        <x:f>IF(OR(G85="",H85=""),"",ROUND(G85*H85,0))</x:f>
        <x:v>534090</x:v>
      </x:c>
      <x:c r="K85" s="14" t="n">
        <x:f>IF(OR(I85="",J85=""),"",I85-J85)</x:f>
        <x:v>0</x:v>
      </x:c>
      <x:c r="L85" s="10" t="str"/>
      <x:c r="M85" s="10" t="n">
        <x:v>5</x:v>
      </x:c>
      <x:c r="N85" s="10" t="str">
        <x:v>工程明細</x:v>
      </x:c>
      <x:c r="O85" s="10" t="str">
        <x:v>內外裝修及防水</x:v>
      </x:c>
      <x:c r="P85" s="10" t="str"/>
    </x:row>
    <x:row r="86" ht="15" customHeight="1">
      <x:c r="A86" s="9" t="str">
        <x:v>lidong-081</x:v>
      </x:c>
      <x:c r="B86" s="9" t="str">
        <x:v>泥作裝修工程</x:v>
      </x:c>
      <x:c r="C86" s="9" t="str">
        <x:v>平頂裝修工程</x:v>
      </x:c>
      <x:c r="D86" s="9" t="str">
        <x:v>2</x:v>
      </x:c>
      <x:c r="E86" s="9" t="str">
        <x:v>暗架矽酸鈣天花板</x:v>
      </x:c>
      <x:c r="F86" s="9" t="str">
        <x:v>M2</x:v>
      </x:c>
      <x:c r="G86" s="15" t="n">
        <x:v>177</x:v>
      </x:c>
      <x:c r="H86" s="15" t="n">
        <x:v>1140</x:v>
      </x:c>
      <x:c r="I86" s="16" t="n">
        <x:v>201780</x:v>
      </x:c>
      <x:c r="J86" s="13" t="n">
        <x:f>IF(OR(G86="",H86=""),"",ROUND(G86*H86,0))</x:f>
        <x:v>201780</x:v>
      </x:c>
      <x:c r="K86" s="13" t="n">
        <x:f>IF(OR(I86="",J86=""),"",I86-J86)</x:f>
        <x:v>0</x:v>
      </x:c>
      <x:c r="L86" s="9" t="str"/>
      <x:c r="M86" s="9" t="n">
        <x:v>5</x:v>
      </x:c>
      <x:c r="N86" s="9" t="str">
        <x:v>工程明細</x:v>
      </x:c>
      <x:c r="O86" s="9" t="str">
        <x:v>內外裝修及防水</x:v>
      </x:c>
      <x:c r="P86" s="9" t="str"/>
    </x:row>
    <x:row r="87" ht="15" customHeight="1">
      <x:c r="A87" s="10" t="str">
        <x:v>lidong-082</x:v>
      </x:c>
      <x:c r="B87" s="10" t="str">
        <x:v>泥作裝修工程</x:v>
      </x:c>
      <x:c r="C87" s="10" t="str">
        <x:v>內牆裝修工程</x:v>
      </x:c>
      <x:c r="D87" s="10" t="str">
        <x:v>1</x:v>
      </x:c>
      <x:c r="E87" s="10" t="str">
        <x:v>9cm輕隔間牆</x:v>
      </x:c>
      <x:c r="F87" s="10" t="str">
        <x:v>M2</x:v>
      </x:c>
      <x:c r="G87" s="17" t="n">
        <x:v>1575</x:v>
      </x:c>
      <x:c r="H87" s="17" t="n">
        <x:v>1190</x:v>
      </x:c>
      <x:c r="I87" s="18" t="n">
        <x:v>1874250</x:v>
      </x:c>
      <x:c r="J87" s="14" t="n">
        <x:f>IF(OR(G87="",H87=""),"",ROUND(G87*H87,0))</x:f>
        <x:v>1874250</x:v>
      </x:c>
      <x:c r="K87" s="14" t="n">
        <x:f>IF(OR(I87="",J87=""),"",I87-J87)</x:f>
        <x:v>0</x:v>
      </x:c>
      <x:c r="L87" s="10" t="str">
        <x:v>矽酸鈣版-不含岩棉</x:v>
      </x:c>
      <x:c r="M87" s="10" t="n">
        <x:v>5</x:v>
      </x:c>
      <x:c r="N87" s="10" t="str">
        <x:v>工程明細</x:v>
      </x:c>
      <x:c r="O87" s="10" t="str">
        <x:v>內外裝修及防水</x:v>
      </x:c>
      <x:c r="P87" s="10" t="str"/>
    </x:row>
    <x:row r="88" ht="15" customHeight="1">
      <x:c r="A88" s="9" t="str">
        <x:v>lidong-083</x:v>
      </x:c>
      <x:c r="B88" s="9" t="str">
        <x:v>泥作裝修工程</x:v>
      </x:c>
      <x:c r="C88" s="9" t="str">
        <x:v>內牆裝修工程</x:v>
      </x:c>
      <x:c r="D88" s="9" t="str">
        <x:v>2</x:v>
      </x:c>
      <x:c r="E88" s="9" t="str">
        <x:v>內牆1:3 水泥砂漿粉光+批土+ 塗水泥漆 (一底二度)</x:v>
      </x:c>
      <x:c r="F88" s="9" t="str">
        <x:v>M2</x:v>
      </x:c>
      <x:c r="G88" s="15" t="n">
        <x:v>3870</x:v>
      </x:c>
      <x:c r="H88" s="15" t="n">
        <x:v>770</x:v>
      </x:c>
      <x:c r="I88" s="16" t="n">
        <x:v>2979900</x:v>
      </x:c>
      <x:c r="J88" s="13" t="n">
        <x:f>IF(OR(G88="",H88=""),"",ROUND(G88*H88,0))</x:f>
        <x:v>2979900</x:v>
      </x:c>
      <x:c r="K88" s="13" t="n">
        <x:f>IF(OR(I88="",J88=""),"",I88-J88)</x:f>
        <x:v>0</x:v>
      </x:c>
      <x:c r="L88" s="9" t="str"/>
      <x:c r="M88" s="9" t="n">
        <x:v>5</x:v>
      </x:c>
      <x:c r="N88" s="9" t="str">
        <x:v>工程明細</x:v>
      </x:c>
      <x:c r="O88" s="9" t="str">
        <x:v>內外裝修及防水</x:v>
      </x:c>
      <x:c r="P88" s="9" t="str"/>
    </x:row>
    <x:row r="89" ht="15" customHeight="1">
      <x:c r="A89" s="10" t="str">
        <x:v>lidong-084</x:v>
      </x:c>
      <x:c r="B89" s="10" t="str">
        <x:v>泥作裝修工程</x:v>
      </x:c>
      <x:c r="C89" s="10" t="str">
        <x:v>內牆裝修工程</x:v>
      </x:c>
      <x:c r="D89" s="10" t="str">
        <x:v>3</x:v>
      </x:c>
      <x:c r="E89" s="10" t="str">
        <x:v>輕隔間牆表面批土+ 塗水泥漆 (一底二度)</x:v>
      </x:c>
      <x:c r="F89" s="10" t="str">
        <x:v>M2</x:v>
      </x:c>
      <x:c r="G89" s="17" t="n">
        <x:v>2625</x:v>
      </x:c>
      <x:c r="H89" s="17" t="n">
        <x:v>140</x:v>
      </x:c>
      <x:c r="I89" s="18" t="n">
        <x:v>367500</x:v>
      </x:c>
      <x:c r="J89" s="14" t="n">
        <x:f>IF(OR(G89="",H89=""),"",ROUND(G89*H89,0))</x:f>
        <x:v>367500</x:v>
      </x:c>
      <x:c r="K89" s="14" t="n">
        <x:f>IF(OR(I89="",J89=""),"",I89-J89)</x:f>
        <x:v>0</x:v>
      </x:c>
      <x:c r="L89" s="10" t="str"/>
      <x:c r="M89" s="10" t="n">
        <x:v>5</x:v>
      </x:c>
      <x:c r="N89" s="10" t="str">
        <x:v>工程明細</x:v>
      </x:c>
      <x:c r="O89" s="10" t="str">
        <x:v>內外裝修及防水</x:v>
      </x:c>
      <x:c r="P89" s="10" t="str"/>
    </x:row>
    <x:row r="90" ht="15" customHeight="1">
      <x:c r="A90" s="9" t="str">
        <x:v>lidong-085</x:v>
      </x:c>
      <x:c r="B90" s="9" t="str">
        <x:v>泥作裝修工程</x:v>
      </x:c>
      <x:c r="C90" s="9" t="str">
        <x:v>內牆裝修工程</x:v>
      </x:c>
      <x:c r="D90" s="9" t="str">
        <x:v>4</x:v>
      </x:c>
      <x:c r="E90" s="9" t="str">
        <x:v>內牆1:2 水泥砂漿+ 貼瓷磚(30*30)</x:v>
      </x:c>
      <x:c r="F90" s="9" t="str">
        <x:v>M2</x:v>
      </x:c>
      <x:c r="G90" s="15" t="n">
        <x:v>165</x:v>
      </x:c>
      <x:c r="H90" s="15" t="n">
        <x:v>1500</x:v>
      </x:c>
      <x:c r="I90" s="16" t="n">
        <x:v>247500</x:v>
      </x:c>
      <x:c r="J90" s="13" t="n">
        <x:f>IF(OR(G90="",H90=""),"",ROUND(G90*H90,0))</x:f>
        <x:v>247500</x:v>
      </x:c>
      <x:c r="K90" s="13" t="n">
        <x:f>IF(OR(I90="",J90=""),"",I90-J90)</x:f>
        <x:v>0</x:v>
      </x:c>
      <x:c r="L90" s="9" t="str">
        <x:v>磁磚材料：30元/片 (國產)</x:v>
      </x:c>
      <x:c r="M90" s="9" t="n">
        <x:v>5</x:v>
      </x:c>
      <x:c r="N90" s="9" t="str">
        <x:v>工程明細</x:v>
      </x:c>
      <x:c r="O90" s="9" t="str">
        <x:v>內外裝修及防水</x:v>
      </x:c>
      <x:c r="P90" s="9" t="str"/>
    </x:row>
    <x:row r="91" ht="15" customHeight="1">
      <x:c r="A91" s="10" t="str">
        <x:v>lidong-086</x:v>
      </x:c>
      <x:c r="B91" s="10" t="str">
        <x:v>泥作裝修工程</x:v>
      </x:c>
      <x:c r="C91" s="10" t="str">
        <x:v>內牆裝修工程</x:v>
      </x:c>
      <x:c r="D91" s="10" t="str">
        <x:v>5</x:v>
      </x:c>
      <x:c r="E91" s="10" t="str">
        <x:v>輕隔間牆表面貼瓷磚(30*30)</x:v>
      </x:c>
      <x:c r="F91" s="10" t="str">
        <x:v>M2</x:v>
      </x:c>
      <x:c r="G91" s="17" t="n">
        <x:v>175</x:v>
      </x:c>
      <x:c r="H91" s="17" t="n">
        <x:v>960</x:v>
      </x:c>
      <x:c r="I91" s="18" t="n">
        <x:v>168000</x:v>
      </x:c>
      <x:c r="J91" s="14" t="n">
        <x:f>IF(OR(G91="",H91=""),"",ROUND(G91*H91,0))</x:f>
        <x:v>168000</x:v>
      </x:c>
      <x:c r="K91" s="14" t="n">
        <x:f>IF(OR(I91="",J91=""),"",I91-J91)</x:f>
        <x:v>0</x:v>
      </x:c>
      <x:c r="L91" s="10" t="str">
        <x:v>磁磚材料：30元/片 (國產)</x:v>
      </x:c>
      <x:c r="M91" s="10" t="n">
        <x:v>5</x:v>
      </x:c>
      <x:c r="N91" s="10" t="str">
        <x:v>工程明細</x:v>
      </x:c>
      <x:c r="O91" s="10" t="str">
        <x:v>內外裝修及防水</x:v>
      </x:c>
      <x:c r="P91" s="10" t="str"/>
    </x:row>
    <x:row r="92" ht="15" customHeight="1">
      <x:c r="A92" s="9" t="str">
        <x:v>lidong-087</x:v>
      </x:c>
      <x:c r="B92" s="9" t="str">
        <x:v>泥作裝修工程</x:v>
      </x:c>
      <x:c r="C92" s="9" t="str">
        <x:v>內牆裝修工程</x:v>
      </x:c>
      <x:c r="D92" s="9" t="str">
        <x:v>6</x:v>
      </x:c>
      <x:c r="E92" s="9" t="str">
        <x:v>內牆1:2 水泥砂漿+ 貼瓷磚(30*30)</x:v>
      </x:c>
      <x:c r="F92" s="9" t="str">
        <x:v>M2</x:v>
      </x:c>
      <x:c r="G92" s="15" t="n">
        <x:v>20</x:v>
      </x:c>
      <x:c r="H92" s="15" t="n">
        <x:v>1500</x:v>
      </x:c>
      <x:c r="I92" s="16" t="n">
        <x:v>30000</x:v>
      </x:c>
      <x:c r="J92" s="13" t="n">
        <x:f>IF(OR(G92="",H92=""),"",ROUND(G92*H92,0))</x:f>
        <x:v>30000</x:v>
      </x:c>
      <x:c r="K92" s="13" t="n">
        <x:f>IF(OR(I92="",J92=""),"",I92-J92)</x:f>
        <x:v>0</x:v>
      </x:c>
      <x:c r="L92" s="9" t="str">
        <x:v>磁磚材料：30元/片 (國產)</x:v>
      </x:c>
      <x:c r="M92" s="9" t="n">
        <x:v>5</x:v>
      </x:c>
      <x:c r="N92" s="9" t="str">
        <x:v>工程明細</x:v>
      </x:c>
      <x:c r="O92" s="9" t="str">
        <x:v>內外裝修及防水</x:v>
      </x:c>
      <x:c r="P92" s="9" t="str"/>
    </x:row>
    <x:row r="93" ht="15" customHeight="1">
      <x:c r="A93" s="10" t="str">
        <x:v>lidong-088</x:v>
      </x:c>
      <x:c r="B93" s="10" t="str">
        <x:v>泥作裝修工程</x:v>
      </x:c>
      <x:c r="C93" s="10" t="str">
        <x:v>內牆裝修工程</x:v>
      </x:c>
      <x:c r="D93" s="10" t="str">
        <x:v>7</x:v>
      </x:c>
      <x:c r="E93" s="10" t="str">
        <x:v>輕隔間牆表面貼瓷磚(30*30)</x:v>
      </x:c>
      <x:c r="F93" s="10" t="str">
        <x:v>M2</x:v>
      </x:c>
      <x:c r="G93" s="17" t="n">
        <x:v>7.9</x:v>
      </x:c>
      <x:c r="H93" s="17" t="n">
        <x:v>960</x:v>
      </x:c>
      <x:c r="I93" s="18" t="n">
        <x:v>7584</x:v>
      </x:c>
      <x:c r="J93" s="14" t="n">
        <x:f>IF(OR(G93="",H93=""),"",ROUND(G93*H93,0))</x:f>
        <x:v>7584</x:v>
      </x:c>
      <x:c r="K93" s="14" t="n">
        <x:f>IF(OR(I93="",J93=""),"",I93-J93)</x:f>
        <x:v>0</x:v>
      </x:c>
      <x:c r="L93" s="10" t="str">
        <x:v>磁磚材料：30元/片 (國產)</x:v>
      </x:c>
      <x:c r="M93" s="10" t="n">
        <x:v>5</x:v>
      </x:c>
      <x:c r="N93" s="10" t="str">
        <x:v>工程明細</x:v>
      </x:c>
      <x:c r="O93" s="10" t="str">
        <x:v>內外裝修及防水</x:v>
      </x:c>
      <x:c r="P93" s="10" t="str"/>
    </x:row>
    <x:row r="94" ht="15" customHeight="1">
      <x:c r="A94" s="9" t="str">
        <x:v>lidong-089</x:v>
      </x:c>
      <x:c r="B94" s="9" t="str">
        <x:v>泥作裝修工程</x:v>
      </x:c>
      <x:c r="C94" s="9" t="str">
        <x:v>外牆裝修工程</x:v>
      </x:c>
      <x:c r="D94" s="9" t="str">
        <x:v>1</x:v>
      </x:c>
      <x:c r="E94" s="9" t="str">
        <x:v>外牆打底貼丁掛磚 (深色)</x:v>
      </x:c>
      <x:c r="F94" s="9" t="str">
        <x:v>M2</x:v>
      </x:c>
      <x:c r="G94" s="15" t="n">
        <x:v>2427</x:v>
      </x:c>
      <x:c r="H94" s="15" t="n">
        <x:v>1380</x:v>
      </x:c>
      <x:c r="I94" s="16" t="n">
        <x:v>3349263</x:v>
      </x:c>
      <x:c r="J94" s="13" t="n">
        <x:f>IF(OR(G94="",H94=""),"",ROUND(G94*H94,0))</x:f>
        <x:v>3349260</x:v>
      </x:c>
      <x:c r="K94" s="13" t="n">
        <x:f>IF(OR(I94="",J94=""),"",I94-J94)</x:f>
        <x:v>3</x:v>
      </x:c>
      <x:c r="L94" s="9" t="str">
        <x:v>磁磚材料：2.2元/片 (國產)</x:v>
      </x:c>
      <x:c r="M94" s="9" t="n">
        <x:v>5</x:v>
      </x:c>
      <x:c r="N94" s="9" t="str">
        <x:v>工程明細</x:v>
      </x:c>
      <x:c r="O94" s="9" t="str">
        <x:v>內外裝修及防水</x:v>
      </x:c>
      <x:c r="P94" s="9" t="str">
        <x:v>原複價與四捨五入乘算差額 3 元；保留原值，請確認底層精度。</x:v>
      </x:c>
    </x:row>
    <x:row r="95" ht="15" customHeight="1">
      <x:c r="A95" s="10" t="str">
        <x:v>lidong-090</x:v>
      </x:c>
      <x:c r="B95" s="10" t="str">
        <x:v>泥作裝修工程</x:v>
      </x:c>
      <x:c r="C95" s="10" t="str">
        <x:v>外牆裝修工程</x:v>
      </x:c>
      <x:c r="D95" s="10" t="str">
        <x:v>2</x:v>
      </x:c>
      <x:c r="E95" s="10" t="str">
        <x:v>外牆金屬包板 (鋁本色)</x:v>
      </x:c>
      <x:c r="F95" s="10" t="str">
        <x:v>M2</x:v>
      </x:c>
      <x:c r="G95" s="17" t="n">
        <x:v>362</x:v>
      </x:c>
      <x:c r="H95" s="17" t="n">
        <x:v>7420</x:v>
      </x:c>
      <x:c r="I95" s="18" t="n">
        <x:v>2686040</x:v>
      </x:c>
      <x:c r="J95" s="14" t="n">
        <x:f>IF(OR(G95="",H95=""),"",ROUND(G95*H95,0))</x:f>
        <x:v>2686040</x:v>
      </x:c>
      <x:c r="K95" s="14" t="n">
        <x:f>IF(OR(I95="",J95=""),"",I95-J95)</x:f>
        <x:v>0</x:v>
      </x:c>
      <x:c r="L95" s="10" t="str"/>
      <x:c r="M95" s="10" t="n">
        <x:v>5</x:v>
      </x:c>
      <x:c r="N95" s="10" t="str">
        <x:v>工程明細</x:v>
      </x:c>
      <x:c r="O95" s="10" t="str">
        <x:v>內外裝修及防水</x:v>
      </x:c>
      <x:c r="P95" s="10" t="str"/>
    </x:row>
    <x:row r="96" ht="15" customHeight="1">
      <x:c r="A96" s="9" t="str">
        <x:v>lidong-091</x:v>
      </x:c>
      <x:c r="B96" s="9" t="str">
        <x:v>泥作裝修工程</x:v>
      </x:c>
      <x:c r="C96" s="9" t="str">
        <x:v>外牆裝修工程</x:v>
      </x:c>
      <x:c r="D96" s="9" t="str">
        <x:v>3</x:v>
      </x:c>
      <x:c r="E96" s="9" t="str">
        <x:v>外牆金屬- 沖孔板</x:v>
      </x:c>
      <x:c r="F96" s="9" t="str">
        <x:v>M2</x:v>
      </x:c>
      <x:c r="G96" s="15" t="n">
        <x:v>173</x:v>
      </x:c>
      <x:c r="H96" s="15" t="n">
        <x:v>9580</x:v>
      </x:c>
      <x:c r="I96" s="16" t="n">
        <x:v>1657340</x:v>
      </x:c>
      <x:c r="J96" s="13" t="n">
        <x:f>IF(OR(G96="",H96=""),"",ROUND(G96*H96,0))</x:f>
        <x:v>1657340</x:v>
      </x:c>
      <x:c r="K96" s="13" t="n">
        <x:f>IF(OR(I96="",J96=""),"",I96-J96)</x:f>
        <x:v>0</x:v>
      </x:c>
      <x:c r="L96" s="9" t="str"/>
      <x:c r="M96" s="9" t="n">
        <x:v>5</x:v>
      </x:c>
      <x:c r="N96" s="9" t="str">
        <x:v>工程明細</x:v>
      </x:c>
      <x:c r="O96" s="9" t="str">
        <x:v>內外裝修及防水</x:v>
      </x:c>
      <x:c r="P96" s="9" t="str"/>
    </x:row>
    <x:row r="97" ht="15" customHeight="1">
      <x:c r="A97" s="10" t="str">
        <x:v>lidong-092</x:v>
      </x:c>
      <x:c r="B97" s="10" t="str">
        <x:v>泥作裝修工程</x:v>
      </x:c>
      <x:c r="C97" s="10" t="str">
        <x:v>外牆裝修工程</x:v>
      </x:c>
      <x:c r="D97" s="10" t="str">
        <x:v>4</x:v>
      </x:c>
      <x:c r="E97" s="10" t="str">
        <x:v>外牆1:3 水泥粉光刷塗料 (淺色)</x:v>
      </x:c>
      <x:c r="F97" s="10" t="str">
        <x:v>M2</x:v>
      </x:c>
      <x:c r="G97" s="17" t="n">
        <x:v>730</x:v>
      </x:c>
      <x:c r="H97" s="17" t="n">
        <x:v>1580</x:v>
      </x:c>
      <x:c r="I97" s="18" t="n">
        <x:v>1153400</x:v>
      </x:c>
      <x:c r="J97" s="14" t="n">
        <x:f>IF(OR(G97="",H97=""),"",ROUND(G97*H97,0))</x:f>
        <x:v>1153400</x:v>
      </x:c>
      <x:c r="K97" s="14" t="n">
        <x:f>IF(OR(I97="",J97=""),"",I97-J97)</x:f>
        <x:v>0</x:v>
      </x:c>
      <x:c r="L97" s="10" t="str">
        <x:v>塗料：720元/M2 (國產)</x:v>
      </x:c>
      <x:c r="M97" s="10" t="n">
        <x:v>5</x:v>
      </x:c>
      <x:c r="N97" s="10" t="str">
        <x:v>工程明細</x:v>
      </x:c>
      <x:c r="O97" s="10" t="str">
        <x:v>內外裝修及防水</x:v>
      </x:c>
      <x:c r="P97" s="10" t="str"/>
    </x:row>
    <x:row r="98" ht="15" customHeight="1">
      <x:c r="A98" s="9" t="str">
        <x:v>lidong-093</x:v>
      </x:c>
      <x:c r="B98" s="9" t="str">
        <x:v>泥作裝修工程</x:v>
      </x:c>
      <x:c r="C98" s="9" t="str">
        <x:v>外牆裝修工程</x:v>
      </x:c>
      <x:c r="D98" s="9" t="str">
        <x:v>5</x:v>
      </x:c>
      <x:c r="E98" s="9" t="str">
        <x:v>外牆金屬企口板 (色另訂)</x:v>
      </x:c>
      <x:c r="F98" s="9" t="str">
        <x:v>M2</x:v>
      </x:c>
      <x:c r="G98" s="15" t="n">
        <x:v>21</x:v>
      </x:c>
      <x:c r="H98" s="15" t="n">
        <x:v>8450</x:v>
      </x:c>
      <x:c r="I98" s="16" t="n">
        <x:v>177450</x:v>
      </x:c>
      <x:c r="J98" s="13" t="n">
        <x:f>IF(OR(G98="",H98=""),"",ROUND(G98*H98,0))</x:f>
        <x:v>177450</x:v>
      </x:c>
      <x:c r="K98" s="13" t="n">
        <x:f>IF(OR(I98="",J98=""),"",I98-J98)</x:f>
        <x:v>0</x:v>
      </x:c>
      <x:c r="L98" s="9" t="str"/>
      <x:c r="M98" s="9" t="n">
        <x:v>5</x:v>
      </x:c>
      <x:c r="N98" s="9" t="str">
        <x:v>工程明細</x:v>
      </x:c>
      <x:c r="O98" s="9" t="str">
        <x:v>內外裝修及防水</x:v>
      </x:c>
      <x:c r="P98" s="9" t="str"/>
    </x:row>
    <x:row r="99" ht="15" customHeight="1">
      <x:c r="A99" s="10" t="str">
        <x:v>lidong-094</x:v>
      </x:c>
      <x:c r="B99" s="10" t="str">
        <x:v>泥作裝修工程</x:v>
      </x:c>
      <x:c r="C99" s="10" t="str">
        <x:v>外牆裝修工程</x:v>
      </x:c>
      <x:c r="D99" s="10" t="str">
        <x:v>6</x:v>
      </x:c>
      <x:c r="E99" s="10" t="str">
        <x:v>外牆1:3 水泥粉光刷仿清水模塗料</x:v>
      </x:c>
      <x:c r="F99" s="10" t="str">
        <x:v>M2</x:v>
      </x:c>
      <x:c r="G99" s="17" t="n">
        <x:v>247</x:v>
      </x:c>
      <x:c r="H99" s="17" t="n">
        <x:v>1970</x:v>
      </x:c>
      <x:c r="I99" s="18" t="n">
        <x:v>486590</x:v>
      </x:c>
      <x:c r="J99" s="14" t="n">
        <x:f>IF(OR(G99="",H99=""),"",ROUND(G99*H99,0))</x:f>
        <x:v>486590</x:v>
      </x:c>
      <x:c r="K99" s="14" t="n">
        <x:f>IF(OR(I99="",J99=""),"",I99-J99)</x:f>
        <x:v>0</x:v>
      </x:c>
      <x:c r="L99" s="10" t="str">
        <x:v>塗料：1,100元/M2 (國產)</x:v>
      </x:c>
      <x:c r="M99" s="10" t="n">
        <x:v>5</x:v>
      </x:c>
      <x:c r="N99" s="10" t="str">
        <x:v>工程明細</x:v>
      </x:c>
      <x:c r="O99" s="10" t="str">
        <x:v>內外裝修及防水</x:v>
      </x:c>
      <x:c r="P99" s="10" t="str"/>
    </x:row>
    <x:row r="100" ht="15" customHeight="1">
      <x:c r="A100" s="9" t="str">
        <x:v>lidong-095</x:v>
      </x:c>
      <x:c r="B100" s="9" t="str">
        <x:v>泥作裝修工程</x:v>
      </x:c>
      <x:c r="C100" s="9" t="str">
        <x:v>外牆裝修工程</x:v>
      </x:c>
      <x:c r="D100" s="9" t="str">
        <x:v>7</x:v>
      </x:c>
      <x:c r="E100" s="9" t="str">
        <x:v>外牆1:3 水泥粉光刷防水漆+ 油漆</x:v>
      </x:c>
      <x:c r="F100" s="9" t="str">
        <x:v>M2</x:v>
      </x:c>
      <x:c r="G100" s="15" t="n">
        <x:v>1132</x:v>
      </x:c>
      <x:c r="H100" s="15" t="n">
        <x:v>1580</x:v>
      </x:c>
      <x:c r="I100" s="16" t="n">
        <x:v>1788560</x:v>
      </x:c>
      <x:c r="J100" s="13" t="n">
        <x:f>IF(OR(G100="",H100=""),"",ROUND(G100*H100,0))</x:f>
        <x:v>1788560</x:v>
      </x:c>
      <x:c r="K100" s="13" t="n">
        <x:f>IF(OR(I100="",J100=""),"",I100-J100)</x:f>
        <x:v>0</x:v>
      </x:c>
      <x:c r="L100" s="9" t="str">
        <x:v>塗料：720元/M2 (國產)</x:v>
      </x:c>
      <x:c r="M100" s="9" t="n">
        <x:v>5</x:v>
      </x:c>
      <x:c r="N100" s="9" t="str">
        <x:v>工程明細</x:v>
      </x:c>
      <x:c r="O100" s="9" t="str">
        <x:v>內外裝修及防水</x:v>
      </x:c>
      <x:c r="P100" s="9" t="str"/>
    </x:row>
    <x:row r="101" ht="15" customHeight="1">
      <x:c r="A101" s="10" t="str">
        <x:v>lidong-096</x:v>
      </x:c>
      <x:c r="B101" s="10" t="str">
        <x:v>泥作裝修工程</x:v>
      </x:c>
      <x:c r="C101" s="10" t="str">
        <x:v>外牆裝修工程</x:v>
      </x:c>
      <x:c r="D101" s="10" t="str">
        <x:v>8</x:v>
      </x:c>
      <x:c r="E101" s="10" t="str">
        <x:v>女兒牆內側1:3 水泥粉刷</x:v>
      </x:c>
      <x:c r="F101" s="10" t="str">
        <x:v>M2</x:v>
      </x:c>
      <x:c r="G101" s="17" t="n">
        <x:v>271</x:v>
      </x:c>
      <x:c r="H101" s="17" t="n">
        <x:v>620</x:v>
      </x:c>
      <x:c r="I101" s="18" t="n">
        <x:v>168020</x:v>
      </x:c>
      <x:c r="J101" s="14" t="n">
        <x:f>IF(OR(G101="",H101=""),"",ROUND(G101*H101,0))</x:f>
        <x:v>168020</x:v>
      </x:c>
      <x:c r="K101" s="14" t="n">
        <x:f>IF(OR(I101="",J101=""),"",I101-J101)</x:f>
        <x:v>0</x:v>
      </x:c>
      <x:c r="L101" s="10" t="str"/>
      <x:c r="M101" s="10" t="n">
        <x:v>5</x:v>
      </x:c>
      <x:c r="N101" s="10" t="str">
        <x:v>工程明細</x:v>
      </x:c>
      <x:c r="O101" s="10" t="str">
        <x:v>內外裝修及防水</x:v>
      </x:c>
      <x:c r="P101" s="10" t="str"/>
    </x:row>
    <x:row r="102" ht="15" customHeight="1">
      <x:c r="A102" s="9" t="str">
        <x:v>lidong-097</x:v>
      </x:c>
      <x:c r="B102" s="9" t="str">
        <x:v>泥作裝修工程</x:v>
      </x:c>
      <x:c r="C102" s="9" t="str">
        <x:v>外牆裝修工程</x:v>
      </x:c>
      <x:c r="D102" s="9" t="str">
        <x:v>9</x:v>
      </x:c>
      <x:c r="E102" s="9" t="str">
        <x:v>外牆烤漆鋼板</x:v>
      </x:c>
      <x:c r="F102" s="9" t="str">
        <x:v>M2</x:v>
      </x:c>
      <x:c r="G102" s="15" t="n">
        <x:v>10</x:v>
      </x:c>
      <x:c r="H102" s="15" t="n">
        <x:v>7420</x:v>
      </x:c>
      <x:c r="I102" s="16" t="n">
        <x:v>74200</x:v>
      </x:c>
      <x:c r="J102" s="13" t="n">
        <x:f>IF(OR(G102="",H102=""),"",ROUND(G102*H102,0))</x:f>
        <x:v>74200</x:v>
      </x:c>
      <x:c r="K102" s="13" t="n">
        <x:f>IF(OR(I102="",J102=""),"",I102-J102)</x:f>
        <x:v>0</x:v>
      </x:c>
      <x:c r="L102" s="9" t="str">
        <x:v>金屬包版</x:v>
      </x:c>
      <x:c r="M102" s="9" t="n">
        <x:v>5</x:v>
      </x:c>
      <x:c r="N102" s="9" t="str">
        <x:v>工程明細</x:v>
      </x:c>
      <x:c r="O102" s="9" t="str">
        <x:v>內外裝修及防水</x:v>
      </x:c>
      <x:c r="P102" s="9" t="str"/>
    </x:row>
    <x:row r="103" ht="15" customHeight="1">
      <x:c r="A103" s="10" t="str">
        <x:v>lidong-098</x:v>
      </x:c>
      <x:c r="B103" s="10" t="str">
        <x:v>泥作裝修工程</x:v>
      </x:c>
      <x:c r="C103" s="10" t="str">
        <x:v>外牆裝修工程</x:v>
      </x:c>
      <x:c r="D103" s="10" t="str">
        <x:v>10</x:v>
      </x:c>
      <x:c r="E103" s="10" t="str">
        <x:v>外牆滴水條</x:v>
      </x:c>
      <x:c r="F103" s="10" t="str">
        <x:v>M</x:v>
      </x:c>
      <x:c r="G103" s="17" t="n">
        <x:v>162</x:v>
      </x:c>
      <x:c r="H103" s="17" t="n">
        <x:v>490</x:v>
      </x:c>
      <x:c r="I103" s="18" t="n">
        <x:v>79380</x:v>
      </x:c>
      <x:c r="J103" s="14" t="n">
        <x:f>IF(OR(G103="",H103=""),"",ROUND(G103*H103,0))</x:f>
        <x:v>79380</x:v>
      </x:c>
      <x:c r="K103" s="14" t="n">
        <x:f>IF(OR(I103="",J103=""),"",I103-J103)</x:f>
        <x:v>0</x:v>
      </x:c>
      <x:c r="L103" s="10" t="str"/>
      <x:c r="M103" s="10" t="n">
        <x:v>5</x:v>
      </x:c>
      <x:c r="N103" s="10" t="str">
        <x:v>工程明細</x:v>
      </x:c>
      <x:c r="O103" s="10" t="str">
        <x:v>內外裝修及防水</x:v>
      </x:c>
      <x:c r="P103" s="10" t="str"/>
    </x:row>
    <x:row r="104" ht="15" customHeight="1">
      <x:c r="A104" s="9" t="str">
        <x:v>lidong-099</x:v>
      </x:c>
      <x:c r="B104" s="9" t="str">
        <x:v>泥作裝修工程</x:v>
      </x:c>
      <x:c r="C104" s="9" t="str">
        <x:v>外牆裝修工程</x:v>
      </x:c>
      <x:c r="D104" s="9" t="str">
        <x:v>11</x:v>
      </x:c>
      <x:c r="E104" s="9" t="str">
        <x:v>外牆滴水蓋板W=20cm</x:v>
      </x:c>
      <x:c r="F104" s="9" t="str">
        <x:v>M</x:v>
      </x:c>
      <x:c r="G104" s="15" t="n">
        <x:v>6.3</x:v>
      </x:c>
      <x:c r="H104" s="15" t="n">
        <x:v>2580</x:v>
      </x:c>
      <x:c r="I104" s="16" t="n">
        <x:v>16254</x:v>
      </x:c>
      <x:c r="J104" s="13" t="n">
        <x:f>IF(OR(G104="",H104=""),"",ROUND(G104*H104,0))</x:f>
        <x:v>16254</x:v>
      </x:c>
      <x:c r="K104" s="13" t="n">
        <x:f>IF(OR(I104="",J104=""),"",I104-J104)</x:f>
        <x:v>0</x:v>
      </x:c>
      <x:c r="L104" s="9" t="str"/>
      <x:c r="M104" s="9" t="n">
        <x:v>5</x:v>
      </x:c>
      <x:c r="N104" s="9" t="str">
        <x:v>工程明細</x:v>
      </x:c>
      <x:c r="O104" s="9" t="str">
        <x:v>內外裝修及防水</x:v>
      </x:c>
      <x:c r="P104" s="9" t="str"/>
    </x:row>
    <x:row r="105" ht="15" customHeight="1">
      <x:c r="A105" s="10" t="str">
        <x:v>lidong-100</x:v>
      </x:c>
      <x:c r="B105" s="10" t="str">
        <x:v>泥作裝修工程</x:v>
      </x:c>
      <x:c r="C105" s="10" t="str">
        <x:v>外牆裝修工程</x:v>
      </x:c>
      <x:c r="D105" s="10" t="str">
        <x:v>12</x:v>
      </x:c>
      <x:c r="E105" s="10" t="str">
        <x:v>1F入口不銹鋼板雨遮 TH=3cm</x:v>
      </x:c>
      <x:c r="F105" s="10" t="str">
        <x:v>M2</x:v>
      </x:c>
      <x:c r="G105" s="17" t="n">
        <x:v>3.8</x:v>
      </x:c>
      <x:c r="H105" s="17" t="n">
        <x:v>50900</x:v>
      </x:c>
      <x:c r="I105" s="18" t="n">
        <x:v>193420</x:v>
      </x:c>
      <x:c r="J105" s="14" t="n">
        <x:f>IF(OR(G105="",H105=""),"",ROUND(G105*H105,0))</x:f>
        <x:v>193420</x:v>
      </x:c>
      <x:c r="K105" s="14" t="n">
        <x:f>IF(OR(I105="",J105=""),"",I105-J105)</x:f>
        <x:v>0</x:v>
      </x:c>
      <x:c r="L105" s="10" t="str">
        <x:v>含相關構件</x:v>
      </x:c>
      <x:c r="M105" s="10" t="n">
        <x:v>5</x:v>
      </x:c>
      <x:c r="N105" s="10" t="str">
        <x:v>工程明細</x:v>
      </x:c>
      <x:c r="O105" s="10" t="str">
        <x:v>內外裝修及防水</x:v>
      </x:c>
      <x:c r="P105" s="10" t="str"/>
    </x:row>
    <x:row r="106" ht="15" customHeight="1">
      <x:c r="A106" s="9" t="str">
        <x:v>lidong-101</x:v>
      </x:c>
      <x:c r="B106" s="9" t="str">
        <x:v>門窗工程</x:v>
      </x:c>
      <x:c r="C106" s="9" t="str"/>
      <x:c r="D106" s="9" t="str">
        <x:v>1</x:v>
      </x:c>
      <x:c r="E106" s="9" t="str">
        <x:v>BW1 120 x 120 防火百葉窗</x:v>
      </x:c>
      <x:c r="F106" s="9" t="str">
        <x:v>樘</x:v>
      </x:c>
      <x:c r="G106" s="15" t="n">
        <x:v>5</x:v>
      </x:c>
      <x:c r="H106" s="15" t="n">
        <x:v>45700</x:v>
      </x:c>
      <x:c r="I106" s="16" t="n">
        <x:v>228500</x:v>
      </x:c>
      <x:c r="J106" s="13" t="n">
        <x:f>IF(OR(G106="",H106=""),"",ROUND(G106*H106,0))</x:f>
        <x:v>228500</x:v>
      </x:c>
      <x:c r="K106" s="13" t="n">
        <x:f>IF(OR(I106="",J106=""),"",I106-J106)</x:f>
        <x:v>0</x:v>
      </x:c>
      <x:c r="L106" s="9" t="str">
        <x:v>5清+5灰強化玻璃，附 隱藏式紗窗、三點連動 式開關</x:v>
      </x:c>
      <x:c r="M106" s="9" t="n">
        <x:v>6</x:v>
      </x:c>
      <x:c r="N106" s="9" t="str">
        <x:v>工程明細</x:v>
      </x:c>
      <x:c r="O106" s="9" t="str">
        <x:v>門窗工程</x:v>
      </x:c>
      <x:c r="P106" s="9" t="str"/>
    </x:row>
    <x:row r="107" ht="15" customHeight="1">
      <x:c r="A107" s="10" t="str">
        <x:v>lidong-102</x:v>
      </x:c>
      <x:c r="B107" s="10" t="str">
        <x:v>門窗工程</x:v>
      </x:c>
      <x:c r="C107" s="10" t="str"/>
      <x:c r="D107" s="10" t="str">
        <x:v>2</x:v>
      </x:c>
      <x:c r="E107" s="10" t="str">
        <x:v>BW2 810 x 70 氣密鋁門窗</x:v>
      </x:c>
      <x:c r="F107" s="10" t="str">
        <x:v>樘</x:v>
      </x:c>
      <x:c r="G107" s="17" t="n">
        <x:v>7</x:v>
      </x:c>
      <x:c r="H107" s="17" t="n">
        <x:v>66700</x:v>
      </x:c>
      <x:c r="I107" s="18" t="n">
        <x:v>466900</x:v>
      </x:c>
      <x:c r="J107" s="14" t="n">
        <x:f>IF(OR(G107="",H107=""),"",ROUND(G107*H107,0))</x:f>
        <x:v>466900</x:v>
      </x:c>
      <x:c r="K107" s="14" t="n">
        <x:f>IF(OR(I107="",J107=""),"",I107-J107)</x:f>
        <x:v>0</x:v>
      </x:c>
      <x:c r="L107" s="10" t="str">
        <x:v>5清+5灰強化玻璃，附 隱藏式紗窗、三點連動 式開關</x:v>
      </x:c>
      <x:c r="M107" s="10" t="n">
        <x:v>6</x:v>
      </x:c>
      <x:c r="N107" s="10" t="str">
        <x:v>工程明細</x:v>
      </x:c>
      <x:c r="O107" s="10" t="str">
        <x:v>門窗工程</x:v>
      </x:c>
      <x:c r="P107" s="10" t="str"/>
    </x:row>
    <x:row r="108" ht="15" customHeight="1">
      <x:c r="A108" s="9" t="str">
        <x:v>lidong-103</x:v>
      </x:c>
      <x:c r="B108" s="9" t="str">
        <x:v>門窗工程</x:v>
      </x:c>
      <x:c r="C108" s="9" t="str"/>
      <x:c r="D108" s="9" t="str">
        <x:v>3</x:v>
      </x:c>
      <x:c r="E108" s="9" t="str">
        <x:v>D1 80 x 220 南亞慶祥SMC 門</x:v>
      </x:c>
      <x:c r="F108" s="9" t="str">
        <x:v>樘</x:v>
      </x:c>
      <x:c r="G108" s="15" t="n">
        <x:v>4</x:v>
      </x:c>
      <x:c r="H108" s="15" t="n">
        <x:v>16800</x:v>
      </x:c>
      <x:c r="I108" s="16" t="n">
        <x:v>67200</x:v>
      </x:c>
      <x:c r="J108" s="13" t="n">
        <x:f>IF(OR(G108="",H108=""),"",ROUND(G108*H108,0))</x:f>
        <x:v>67200</x:v>
      </x:c>
      <x:c r="K108" s="13" t="n">
        <x:f>IF(OR(I108="",J108=""),"",I108-J108)</x:f>
        <x:v>0</x:v>
      </x:c>
      <x:c r="L108" s="9" t="str"/>
      <x:c r="M108" s="9" t="n">
        <x:v>6</x:v>
      </x:c>
      <x:c r="N108" s="9" t="str">
        <x:v>工程明細</x:v>
      </x:c>
      <x:c r="O108" s="9" t="str">
        <x:v>門窗工程</x:v>
      </x:c>
      <x:c r="P108" s="9" t="str"/>
    </x:row>
    <x:row r="109" ht="15" customHeight="1">
      <x:c r="A109" s="10" t="str">
        <x:v>lidong-104</x:v>
      </x:c>
      <x:c r="B109" s="10" t="str">
        <x:v>門窗工程</x:v>
      </x:c>
      <x:c r="C109" s="10" t="str"/>
      <x:c r="D109" s="10" t="str">
        <x:v>4</x:v>
      </x:c>
      <x:c r="E109" s="10" t="str">
        <x:v>D2 90 x 210 南亞慶祥SMC 門</x:v>
      </x:c>
      <x:c r="F109" s="10" t="str">
        <x:v>樘</x:v>
      </x:c>
      <x:c r="G109" s="17" t="n">
        <x:v>6</x:v>
      </x:c>
      <x:c r="H109" s="17" t="n">
        <x:v>16800</x:v>
      </x:c>
      <x:c r="I109" s="18" t="n">
        <x:v>100800</x:v>
      </x:c>
      <x:c r="J109" s="14" t="n">
        <x:f>IF(OR(G109="",H109=""),"",ROUND(G109*H109,0))</x:f>
        <x:v>100800</x:v>
      </x:c>
      <x:c r="K109" s="14" t="n">
        <x:f>IF(OR(I109="",J109=""),"",I109-J109)</x:f>
        <x:v>0</x:v>
      </x:c>
      <x:c r="L109" s="10" t="str"/>
      <x:c r="M109" s="10" t="n">
        <x:v>6</x:v>
      </x:c>
      <x:c r="N109" s="10" t="str">
        <x:v>工程明細</x:v>
      </x:c>
      <x:c r="O109" s="10" t="str">
        <x:v>門窗工程</x:v>
      </x:c>
      <x:c r="P109" s="10" t="str"/>
    </x:row>
    <x:row r="110" ht="15" customHeight="1">
      <x:c r="A110" s="9" t="str">
        <x:v>lidong-105</x:v>
      </x:c>
      <x:c r="B110" s="9" t="str">
        <x:v>門窗工程</x:v>
      </x:c>
      <x:c r="C110" s="9" t="str"/>
      <x:c r="D110" s="9" t="str">
        <x:v>5</x:v>
      </x:c>
      <x:c r="E110" s="9" t="str">
        <x:v>D3 100 x 220 硫化銅門</x:v>
      </x:c>
      <x:c r="F110" s="9" t="str">
        <x:v>樘</x:v>
      </x:c>
      <x:c r="G110" s="15" t="n">
        <x:v>6</x:v>
      </x:c>
      <x:c r="H110" s="15" t="n">
        <x:v>24300</x:v>
      </x:c>
      <x:c r="I110" s="16" t="n">
        <x:v>145800</x:v>
      </x:c>
      <x:c r="J110" s="13" t="n">
        <x:f>IF(OR(G110="",H110=""),"",ROUND(G110*H110,0))</x:f>
        <x:v>145800</x:v>
      </x:c>
      <x:c r="K110" s="13" t="n">
        <x:f>IF(OR(I110="",J110=""),"",I110-J110)</x:f>
        <x:v>0</x:v>
      </x:c>
      <x:c r="L110" s="9" t="str"/>
      <x:c r="M110" s="9" t="n">
        <x:v>6</x:v>
      </x:c>
      <x:c r="N110" s="9" t="str">
        <x:v>工程明細</x:v>
      </x:c>
      <x:c r="O110" s="9" t="str">
        <x:v>門窗工程</x:v>
      </x:c>
      <x:c r="P110" s="9" t="str"/>
    </x:row>
    <x:row r="111" ht="15" customHeight="1">
      <x:c r="A111" s="10" t="str">
        <x:v>lidong-106</x:v>
      </x:c>
      <x:c r="B111" s="10" t="str">
        <x:v>門窗工程</x:v>
      </x:c>
      <x:c r="C111" s="10" t="str"/>
      <x:c r="D111" s="10" t="str">
        <x:v>6</x:v>
      </x:c>
      <x:c r="E111" s="10" t="str">
        <x:v>D3a 100 x 220 防火門</x:v>
      </x:c>
      <x:c r="F111" s="10" t="str">
        <x:v>樘</x:v>
      </x:c>
      <x:c r="G111" s="17" t="n">
        <x:v>3</x:v>
      </x:c>
      <x:c r="H111" s="17" t="n">
        <x:v>34600</x:v>
      </x:c>
      <x:c r="I111" s="18" t="n">
        <x:v>103800</x:v>
      </x:c>
      <x:c r="J111" s="14" t="n">
        <x:f>IF(OR(G111="",H111=""),"",ROUND(G111*H111,0))</x:f>
        <x:v>103800</x:v>
      </x:c>
      <x:c r="K111" s="14" t="n">
        <x:f>IF(OR(I111="",J111=""),"",I111-J111)</x:f>
        <x:v>0</x:v>
      </x:c>
      <x:c r="L111" s="10" t="str">
        <x:v>60B+遮煙</x:v>
      </x:c>
      <x:c r="M111" s="10" t="n">
        <x:v>6</x:v>
      </x:c>
      <x:c r="N111" s="10" t="str">
        <x:v>工程明細</x:v>
      </x:c>
      <x:c r="O111" s="10" t="str">
        <x:v>門窗工程</x:v>
      </x:c>
      <x:c r="P111" s="10" t="str"/>
    </x:row>
    <x:row r="112" ht="15" customHeight="1">
      <x:c r="A112" s="9" t="str">
        <x:v>lidong-107</x:v>
      </x:c>
      <x:c r="B112" s="9" t="str">
        <x:v>門窗工程</x:v>
      </x:c>
      <x:c r="C112" s="9" t="str"/>
      <x:c r="D112" s="9" t="str">
        <x:v>7</x:v>
      </x:c>
      <x:c r="E112" s="9" t="str">
        <x:v>D4 100 x 210 防火門</x:v>
      </x:c>
      <x:c r="F112" s="9" t="str">
        <x:v>樘</x:v>
      </x:c>
      <x:c r="G112" s="15" t="n">
        <x:v>2</x:v>
      </x:c>
      <x:c r="H112" s="15" t="n">
        <x:v>34500</x:v>
      </x:c>
      <x:c r="I112" s="16" t="n">
        <x:v>69000</x:v>
      </x:c>
      <x:c r="J112" s="13" t="n">
        <x:f>IF(OR(G112="",H112=""),"",ROUND(G112*H112,0))</x:f>
        <x:v>69000</x:v>
      </x:c>
      <x:c r="K112" s="13" t="n">
        <x:f>IF(OR(I112="",J112=""),"",I112-J112)</x:f>
        <x:v>0</x:v>
      </x:c>
      <x:c r="L112" s="9" t="str">
        <x:v>遮煙</x:v>
      </x:c>
      <x:c r="M112" s="9" t="n">
        <x:v>6</x:v>
      </x:c>
      <x:c r="N112" s="9" t="str">
        <x:v>工程明細</x:v>
      </x:c>
      <x:c r="O112" s="9" t="str">
        <x:v>門窗工程</x:v>
      </x:c>
      <x:c r="P112" s="9" t="str"/>
    </x:row>
    <x:row r="113" ht="15" customHeight="1">
      <x:c r="A113" s="10" t="str">
        <x:v>lidong-108</x:v>
      </x:c>
      <x:c r="B113" s="10" t="str">
        <x:v>門窗工程</x:v>
      </x:c>
      <x:c r="C113" s="10" t="str"/>
      <x:c r="D113" s="10" t="str">
        <x:v>8</x:v>
      </x:c>
      <x:c r="E113" s="10" t="str">
        <x:v>D5 90 x 220 硫化銅門</x:v>
      </x:c>
      <x:c r="F113" s="10" t="str">
        <x:v>樘</x:v>
      </x:c>
      <x:c r="G113" s="17" t="n">
        <x:v>4</x:v>
      </x:c>
      <x:c r="H113" s="17" t="n">
        <x:v>24200</x:v>
      </x:c>
      <x:c r="I113" s="18" t="n">
        <x:v>96800</x:v>
      </x:c>
      <x:c r="J113" s="14" t="n">
        <x:f>IF(OR(G113="",H113=""),"",ROUND(G113*H113,0))</x:f>
        <x:v>96800</x:v>
      </x:c>
      <x:c r="K113" s="14" t="n">
        <x:f>IF(OR(I113="",J113=""),"",I113-J113)</x:f>
        <x:v>0</x:v>
      </x:c>
      <x:c r="L113" s="10" t="str"/>
      <x:c r="M113" s="10" t="n">
        <x:v>6</x:v>
      </x:c>
      <x:c r="N113" s="10" t="str">
        <x:v>工程明細</x:v>
      </x:c>
      <x:c r="O113" s="10" t="str">
        <x:v>門窗工程</x:v>
      </x:c>
      <x:c r="P113" s="10" t="str"/>
    </x:row>
    <x:row r="114" ht="15" customHeight="1">
      <x:c r="A114" s="9" t="str">
        <x:v>lidong-109</x:v>
      </x:c>
      <x:c r="B114" s="9" t="str">
        <x:v>門窗工程</x:v>
      </x:c>
      <x:c r="C114" s="9" t="str"/>
      <x:c r="D114" s="9" t="str">
        <x:v>9</x:v>
      </x:c>
      <x:c r="E114" s="9" t="str">
        <x:v>D6 1035 x 140 +120 x 220 硫化銅門+角窗</x:v>
      </x:c>
      <x:c r="F114" s="9" t="str">
        <x:v>樘</x:v>
      </x:c>
      <x:c r="G114" s="15" t="n">
        <x:v>1</x:v>
      </x:c>
      <x:c r="H114" s="15" t="n">
        <x:v>504700</x:v>
      </x:c>
      <x:c r="I114" s="16" t="n">
        <x:v>504700</x:v>
      </x:c>
      <x:c r="J114" s="13" t="n">
        <x:f>IF(OR(G114="",H114=""),"",ROUND(G114*H114,0))</x:f>
        <x:v>504700</x:v>
      </x:c>
      <x:c r="K114" s="13" t="n">
        <x:f>IF(OR(I114="",J114=""),"",I114-J114)</x:f>
        <x:v>0</x:v>
      </x:c>
      <x:c r="L114" s="9" t="str">
        <x:v>角窗-5清+5灰強化玻璃</x:v>
      </x:c>
      <x:c r="M114" s="9" t="n">
        <x:v>6</x:v>
      </x:c>
      <x:c r="N114" s="9" t="str">
        <x:v>工程明細</x:v>
      </x:c>
      <x:c r="O114" s="9" t="str">
        <x:v>門窗工程</x:v>
      </x:c>
      <x:c r="P114" s="9" t="str"/>
    </x:row>
    <x:row r="115" ht="15" customHeight="1">
      <x:c r="A115" s="10" t="str">
        <x:v>lidong-110</x:v>
      </x:c>
      <x:c r="B115" s="10" t="str">
        <x:v>門窗工程</x:v>
      </x:c>
      <x:c r="C115" s="10" t="str"/>
      <x:c r="D115" s="10" t="str">
        <x:v>10</x:v>
      </x:c>
      <x:c r="E115" s="10" t="str">
        <x:v>D7 95 x 220 三合一通風門</x:v>
      </x:c>
      <x:c r="F115" s="10" t="str">
        <x:v>樘</x:v>
      </x:c>
      <x:c r="G115" s="17" t="n">
        <x:v>2</x:v>
      </x:c>
      <x:c r="H115" s="17" t="n">
        <x:v>18200</x:v>
      </x:c>
      <x:c r="I115" s="18" t="n">
        <x:v>36400</x:v>
      </x:c>
      <x:c r="J115" s="14" t="n">
        <x:f>IF(OR(G115="",H115=""),"",ROUND(G115*H115,0))</x:f>
        <x:v>36400</x:v>
      </x:c>
      <x:c r="K115" s="14" t="n">
        <x:f>IF(OR(I115="",J115=""),"",I115-J115)</x:f>
        <x:v>0</x:v>
      </x:c>
      <x:c r="L115" s="10" t="str">
        <x:v>5mm+灰強化玻璃</x:v>
      </x:c>
      <x:c r="M115" s="10" t="n">
        <x:v>6</x:v>
      </x:c>
      <x:c r="N115" s="10" t="str">
        <x:v>工程明細</x:v>
      </x:c>
      <x:c r="O115" s="10" t="str">
        <x:v>門窗工程</x:v>
      </x:c>
      <x:c r="P115" s="10" t="str"/>
    </x:row>
    <x:row r="116" ht="15" customHeight="1">
      <x:c r="A116" s="9" t="str">
        <x:v>lidong-111</x:v>
      </x:c>
      <x:c r="B116" s="9" t="str">
        <x:v>門窗工程</x:v>
      </x:c>
      <x:c r="C116" s="9" t="str"/>
      <x:c r="D116" s="9" t="str">
        <x:v>11</x:v>
      </x:c>
      <x:c r="E116" s="9" t="str">
        <x:v>D8 140 x 240 防火門</x:v>
      </x:c>
      <x:c r="F116" s="9" t="str">
        <x:v>樘</x:v>
      </x:c>
      <x:c r="G116" s="15" t="n">
        <x:v>1</x:v>
      </x:c>
      <x:c r="H116" s="15" t="n">
        <x:v>51400</x:v>
      </x:c>
      <x:c r="I116" s="16" t="n">
        <x:v>51400</x:v>
      </x:c>
      <x:c r="J116" s="13" t="n">
        <x:f>IF(OR(G116="",H116=""),"",ROUND(G116*H116,0))</x:f>
        <x:v>51400</x:v>
      </x:c>
      <x:c r="K116" s="13" t="n">
        <x:f>IF(OR(I116="",J116=""),"",I116-J116)</x:f>
        <x:v>0</x:v>
      </x:c>
      <x:c r="L116" s="9" t="str">
        <x:v>遮煙</x:v>
      </x:c>
      <x:c r="M116" s="9" t="n">
        <x:v>6</x:v>
      </x:c>
      <x:c r="N116" s="9" t="str">
        <x:v>工程明細</x:v>
      </x:c>
      <x:c r="O116" s="9" t="str">
        <x:v>門窗工程</x:v>
      </x:c>
      <x:c r="P116" s="9" t="str"/>
    </x:row>
    <x:row r="117" ht="15" customHeight="1">
      <x:c r="A117" s="10" t="str">
        <x:v>lidong-112</x:v>
      </x:c>
      <x:c r="B117" s="10" t="str">
        <x:v>門窗工程</x:v>
      </x:c>
      <x:c r="C117" s="10" t="str"/>
      <x:c r="D117" s="10" t="str">
        <x:v>12</x:v>
      </x:c>
      <x:c r="E117" s="10" t="str">
        <x:v>D9 150 x 240 硫化銅門</x:v>
      </x:c>
      <x:c r="F117" s="10" t="str">
        <x:v>樘</x:v>
      </x:c>
      <x:c r="G117" s="17" t="n">
        <x:v>2</x:v>
      </x:c>
      <x:c r="H117" s="17" t="n">
        <x:v>41100</x:v>
      </x:c>
      <x:c r="I117" s="18" t="n">
        <x:v>82200</x:v>
      </x:c>
      <x:c r="J117" s="14" t="n">
        <x:f>IF(OR(G117="",H117=""),"",ROUND(G117*H117,0))</x:f>
        <x:v>82200</x:v>
      </x:c>
      <x:c r="K117" s="14" t="n">
        <x:f>IF(OR(I117="",J117=""),"",I117-J117)</x:f>
        <x:v>0</x:v>
      </x:c>
      <x:c r="L117" s="10" t="str"/>
      <x:c r="M117" s="10" t="n">
        <x:v>6</x:v>
      </x:c>
      <x:c r="N117" s="10" t="str">
        <x:v>工程明細</x:v>
      </x:c>
      <x:c r="O117" s="10" t="str">
        <x:v>門窗工程</x:v>
      </x:c>
      <x:c r="P117" s="10" t="str"/>
    </x:row>
    <x:row r="118" ht="15" customHeight="1">
      <x:c r="A118" s="9" t="str">
        <x:v>lidong-113</x:v>
      </x:c>
      <x:c r="B118" s="9" t="str">
        <x:v>門窗工程</x:v>
      </x:c>
      <x:c r="C118" s="9" t="str"/>
      <x:c r="D118" s="9" t="str">
        <x:v>13</x:v>
      </x:c>
      <x:c r="E118" s="9" t="str">
        <x:v>D9a 150 x 240 防火門</x:v>
      </x:c>
      <x:c r="F118" s="9" t="str">
        <x:v>樘</x:v>
      </x:c>
      <x:c r="G118" s="15" t="n">
        <x:v>1</x:v>
      </x:c>
      <x:c r="H118" s="15" t="n">
        <x:v>51400</x:v>
      </x:c>
      <x:c r="I118" s="16" t="n">
        <x:v>51400</x:v>
      </x:c>
      <x:c r="J118" s="13" t="n">
        <x:f>IF(OR(G118="",H118=""),"",ROUND(G118*H118,0))</x:f>
        <x:v>51400</x:v>
      </x:c>
      <x:c r="K118" s="13" t="n">
        <x:f>IF(OR(I118="",J118=""),"",I118-J118)</x:f>
        <x:v>0</x:v>
      </x:c>
      <x:c r="L118" s="9" t="str">
        <x:v>60B+遮煙</x:v>
      </x:c>
      <x:c r="M118" s="9" t="n">
        <x:v>6</x:v>
      </x:c>
      <x:c r="N118" s="9" t="str">
        <x:v>工程明細</x:v>
      </x:c>
      <x:c r="O118" s="9" t="str">
        <x:v>門窗工程</x:v>
      </x:c>
      <x:c r="P118" s="9" t="str"/>
    </x:row>
    <x:row r="119" ht="15" customHeight="1">
      <x:c r="A119" s="10" t="str">
        <x:v>lidong-114</x:v>
      </x:c>
      <x:c r="B119" s="10" t="str">
        <x:v>門窗工程</x:v>
      </x:c>
      <x:c r="C119" s="10" t="str"/>
      <x:c r="D119" s="10" t="str">
        <x:v>14</x:v>
      </x:c>
      <x:c r="E119" s="10" t="str">
        <x:v>D10 180 x 240 硫化銅門</x:v>
      </x:c>
      <x:c r="F119" s="10" t="str">
        <x:v>樘</x:v>
      </x:c>
      <x:c r="G119" s="17" t="n">
        <x:v>1</x:v>
      </x:c>
      <x:c r="H119" s="17" t="n">
        <x:v>45400</x:v>
      </x:c>
      <x:c r="I119" s="18" t="n">
        <x:v>45400</x:v>
      </x:c>
      <x:c r="J119" s="14" t="n">
        <x:f>IF(OR(G119="",H119=""),"",ROUND(G119*H119,0))</x:f>
        <x:v>45400</x:v>
      </x:c>
      <x:c r="K119" s="14" t="n">
        <x:f>IF(OR(I119="",J119=""),"",I119-J119)</x:f>
        <x:v>0</x:v>
      </x:c>
      <x:c r="L119" s="10" t="str"/>
      <x:c r="M119" s="10" t="n">
        <x:v>6</x:v>
      </x:c>
      <x:c r="N119" s="10" t="str">
        <x:v>工程明細</x:v>
      </x:c>
      <x:c r="O119" s="10" t="str">
        <x:v>門窗工程</x:v>
      </x:c>
      <x:c r="P119" s="10" t="str"/>
    </x:row>
    <x:row r="120" ht="15" customHeight="1">
      <x:c r="A120" s="9" t="str">
        <x:v>lidong-115</x:v>
      </x:c>
      <x:c r="B120" s="9" t="str">
        <x:v>門窗工程</x:v>
      </x:c>
      <x:c r="C120" s="9" t="str"/>
      <x:c r="D120" s="9" t="str">
        <x:v>15</x:v>
      </x:c>
      <x:c r="E120" s="9" t="str">
        <x:v>D11 290 x 330 硫化銅門</x:v>
      </x:c>
      <x:c r="F120" s="9" t="str">
        <x:v>樘</x:v>
      </x:c>
      <x:c r="G120" s="15" t="n">
        <x:v>1</x:v>
      </x:c>
      <x:c r="H120" s="15" t="n">
        <x:v>229700</x:v>
      </x:c>
      <x:c r="I120" s="16" t="n">
        <x:v>229700</x:v>
      </x:c>
      <x:c r="J120" s="13" t="n">
        <x:f>IF(OR(G120="",H120=""),"",ROUND(G120*H120,0))</x:f>
        <x:v>229700</x:v>
      </x:c>
      <x:c r="K120" s="13" t="n">
        <x:f>IF(OR(I120="",J120=""),"",I120-J120)</x:f>
        <x:v>0</x:v>
      </x:c>
      <x:c r="L120" s="9" t="str"/>
      <x:c r="M120" s="9" t="n">
        <x:v>6</x:v>
      </x:c>
      <x:c r="N120" s="9" t="str">
        <x:v>工程明細</x:v>
      </x:c>
      <x:c r="O120" s="9" t="str">
        <x:v>門窗工程</x:v>
      </x:c>
      <x:c r="P120" s="9" t="str"/>
    </x:row>
    <x:row r="121" ht="15" customHeight="1">
      <x:c r="A121" s="10" t="str">
        <x:v>lidong-116</x:v>
      </x:c>
      <x:c r="B121" s="10" t="str">
        <x:v>門窗工程</x:v>
      </x:c>
      <x:c r="C121" s="10" t="str"/>
      <x:c r="D121" s="10" t="str">
        <x:v>16</x:v>
      </x:c>
      <x:c r="E121" s="10" t="str">
        <x:v>D12 160 x 240 裝潢門</x:v>
      </x:c>
      <x:c r="F121" s="10" t="str">
        <x:v>樘</x:v>
      </x:c>
      <x:c r="G121" s="17" t="n">
        <x:v>5</x:v>
      </x:c>
      <x:c r="H121" s="17" t="n">
        <x:v>21400</x:v>
      </x:c>
      <x:c r="I121" s="18" t="n">
        <x:v>107000</x:v>
      </x:c>
      <x:c r="J121" s="14" t="n">
        <x:f>IF(OR(G121="",H121=""),"",ROUND(G121*H121,0))</x:f>
        <x:v>107000</x:v>
      </x:c>
      <x:c r="K121" s="14" t="n">
        <x:f>IF(OR(I121="",J121=""),"",I121-J121)</x:f>
        <x:v>0</x:v>
      </x:c>
      <x:c r="L121" s="10" t="str"/>
      <x:c r="M121" s="10" t="n">
        <x:v>6</x:v>
      </x:c>
      <x:c r="N121" s="10" t="str">
        <x:v>工程明細</x:v>
      </x:c>
      <x:c r="O121" s="10" t="str">
        <x:v>門窗工程</x:v>
      </x:c>
      <x:c r="P121" s="10" t="str"/>
    </x:row>
    <x:row r="122" ht="15" customHeight="1">
      <x:c r="A122" s="9" t="str">
        <x:v>lidong-117</x:v>
      </x:c>
      <x:c r="B122" s="9" t="str">
        <x:v>門窗工程</x:v>
      </x:c>
      <x:c r="C122" s="9" t="str"/>
      <x:c r="D122" s="9" t="str">
        <x:v>17</x:v>
      </x:c>
      <x:c r="E122" s="9" t="str">
        <x:v>D13 100 x 210 南亞慶祥SMC 門</x:v>
      </x:c>
      <x:c r="F122" s="9" t="str">
        <x:v>樘</x:v>
      </x:c>
      <x:c r="G122" s="15" t="n">
        <x:v>1</x:v>
      </x:c>
      <x:c r="H122" s="15" t="n">
        <x:v>22000</x:v>
      </x:c>
      <x:c r="I122" s="16" t="n">
        <x:v>22000</x:v>
      </x:c>
      <x:c r="J122" s="13" t="n">
        <x:f>IF(OR(G122="",H122=""),"",ROUND(G122*H122,0))</x:f>
        <x:v>22000</x:v>
      </x:c>
      <x:c r="K122" s="13" t="n">
        <x:f>IF(OR(I122="",J122=""),"",I122-J122)</x:f>
        <x:v>0</x:v>
      </x:c>
      <x:c r="L122" s="9" t="str">
        <x:v>無障礙</x:v>
      </x:c>
      <x:c r="M122" s="9" t="n">
        <x:v>6</x:v>
      </x:c>
      <x:c r="N122" s="9" t="str">
        <x:v>工程明細</x:v>
      </x:c>
      <x:c r="O122" s="9" t="str">
        <x:v>門窗工程</x:v>
      </x:c>
      <x:c r="P122" s="9" t="str"/>
    </x:row>
    <x:row r="123" ht="15" customHeight="1">
      <x:c r="A123" s="10" t="str">
        <x:v>lidong-118</x:v>
      </x:c>
      <x:c r="B123" s="10" t="str">
        <x:v>門窗工程</x:v>
      </x:c>
      <x:c r="C123" s="10" t="str"/>
      <x:c r="D123" s="10" t="str">
        <x:v>18</x:v>
      </x:c>
      <x:c r="E123" s="10" t="str">
        <x:v>D14 90 x 220 裝潢門</x:v>
      </x:c>
      <x:c r="F123" s="10" t="str">
        <x:v>樘</x:v>
      </x:c>
      <x:c r="G123" s="17" t="n">
        <x:v>4</x:v>
      </x:c>
      <x:c r="H123" s="17" t="n">
        <x:v>16800</x:v>
      </x:c>
      <x:c r="I123" s="18" t="n">
        <x:v>67200</x:v>
      </x:c>
      <x:c r="J123" s="14" t="n">
        <x:f>IF(OR(G123="",H123=""),"",ROUND(G123*H123,0))</x:f>
        <x:v>67200</x:v>
      </x:c>
      <x:c r="K123" s="14" t="n">
        <x:f>IF(OR(I123="",J123=""),"",I123-J123)</x:f>
        <x:v>0</x:v>
      </x:c>
      <x:c r="L123" s="10" t="str"/>
      <x:c r="M123" s="10" t="n">
        <x:v>6</x:v>
      </x:c>
      <x:c r="N123" s="10" t="str">
        <x:v>工程明細</x:v>
      </x:c>
      <x:c r="O123" s="10" t="str">
        <x:v>門窗工程</x:v>
      </x:c>
      <x:c r="P123" s="10" t="str"/>
    </x:row>
    <x:row r="124" ht="15" customHeight="1">
      <x:c r="A124" s="9" t="str">
        <x:v>lidong-119</x:v>
      </x:c>
      <x:c r="B124" s="9" t="str">
        <x:v>門窗工程</x:v>
      </x:c>
      <x:c r="C124" s="9" t="str"/>
      <x:c r="D124" s="9" t="str">
        <x:v>19</x:v>
      </x:c>
      <x:c r="E124" s="9" t="str">
        <x:v>D15 260 x 240 防火門</x:v>
      </x:c>
      <x:c r="F124" s="9" t="str">
        <x:v>樘</x:v>
      </x:c>
      <x:c r="G124" s="15" t="n">
        <x:v>1</x:v>
      </x:c>
      <x:c r="H124" s="15" t="n">
        <x:v>64300</x:v>
      </x:c>
      <x:c r="I124" s="16" t="n">
        <x:v>64300</x:v>
      </x:c>
      <x:c r="J124" s="13" t="n">
        <x:f>IF(OR(G124="",H124=""),"",ROUND(G124*H124,0))</x:f>
        <x:v>64300</x:v>
      </x:c>
      <x:c r="K124" s="13" t="n">
        <x:f>IF(OR(I124="",J124=""),"",I124-J124)</x:f>
        <x:v>0</x:v>
      </x:c>
      <x:c r="L124" s="9" t="str">
        <x:v>60B</x:v>
      </x:c>
      <x:c r="M124" s="9" t="n">
        <x:v>6</x:v>
      </x:c>
      <x:c r="N124" s="9" t="str">
        <x:v>工程明細</x:v>
      </x:c>
      <x:c r="O124" s="9" t="str">
        <x:v>門窗工程</x:v>
      </x:c>
      <x:c r="P124" s="9" t="str"/>
    </x:row>
    <x:row r="125" ht="15" customHeight="1">
      <x:c r="A125" s="10" t="str">
        <x:v>lidong-120</x:v>
      </x:c>
      <x:c r="B125" s="10" t="str">
        <x:v>門窗工程</x:v>
      </x:c>
      <x:c r="C125" s="10" t="str"/>
      <x:c r="D125" s="10" t="str">
        <x:v>20</x:v>
      </x:c>
      <x:c r="E125" s="10" t="str">
        <x:v>FD1 100 x 220 烤漆鋼板門(防火門標準)</x:v>
      </x:c>
      <x:c r="F125" s="10" t="str">
        <x:v>樘</x:v>
      </x:c>
      <x:c r="G125" s="17" t="n">
        <x:v>9</x:v>
      </x:c>
      <x:c r="H125" s="17" t="n">
        <x:v>34600</x:v>
      </x:c>
      <x:c r="I125" s="18" t="n">
        <x:v>311400</x:v>
      </x:c>
      <x:c r="J125" s="14" t="n">
        <x:f>IF(OR(G125="",H125=""),"",ROUND(G125*H125,0))</x:f>
        <x:v>311400</x:v>
      </x:c>
      <x:c r="K125" s="14" t="n">
        <x:f>IF(OR(I125="",J125=""),"",I125-J125)</x:f>
        <x:v>0</x:v>
      </x:c>
      <x:c r="L125" s="10" t="str">
        <x:v>60A+遮煙</x:v>
      </x:c>
      <x:c r="M125" s="10" t="n">
        <x:v>6</x:v>
      </x:c>
      <x:c r="N125" s="10" t="str">
        <x:v>工程明細</x:v>
      </x:c>
      <x:c r="O125" s="10" t="str">
        <x:v>門窗工程</x:v>
      </x:c>
      <x:c r="P125" s="10" t="str"/>
    </x:row>
    <x:row r="126" ht="15" customHeight="1">
      <x:c r="A126" s="9" t="str">
        <x:v>lidong-121</x:v>
      </x:c>
      <x:c r="B126" s="9" t="str">
        <x:v>門窗工程</x:v>
      </x:c>
      <x:c r="C126" s="9" t="str"/>
      <x:c r="D126" s="9" t="str">
        <x:v>21</x:v>
      </x:c>
      <x:c r="E126" s="9" t="str">
        <x:v>FD2 120 x 220 烤漆鋼板門(防火門標準)</x:v>
      </x:c>
      <x:c r="F126" s="9" t="str">
        <x:v>樘</x:v>
      </x:c>
      <x:c r="G126" s="15" t="n">
        <x:v>3</x:v>
      </x:c>
      <x:c r="H126" s="15" t="n">
        <x:v>29500</x:v>
      </x:c>
      <x:c r="I126" s="16" t="n">
        <x:v>88500</x:v>
      </x:c>
      <x:c r="J126" s="13" t="n">
        <x:f>IF(OR(G126="",H126=""),"",ROUND(G126*H126,0))</x:f>
        <x:v>88500</x:v>
      </x:c>
      <x:c r="K126" s="13" t="n">
        <x:f>IF(OR(I126="",J126=""),"",I126-J126)</x:f>
        <x:v>0</x:v>
      </x:c>
      <x:c r="L126" s="9" t="str">
        <x:v>60B</x:v>
      </x:c>
      <x:c r="M126" s="9" t="n">
        <x:v>6</x:v>
      </x:c>
      <x:c r="N126" s="9" t="str">
        <x:v>工程明細</x:v>
      </x:c>
      <x:c r="O126" s="9" t="str">
        <x:v>門窗工程</x:v>
      </x:c>
      <x:c r="P126" s="9" t="str"/>
    </x:row>
    <x:row r="127" ht="15" customHeight="1">
      <x:c r="A127" s="10" t="str">
        <x:v>lidong-122</x:v>
      </x:c>
      <x:c r="B127" s="10" t="str">
        <x:v>門窗工程</x:v>
      </x:c>
      <x:c r="C127" s="10" t="str"/>
      <x:c r="D127" s="10" t="str">
        <x:v>22</x:v>
      </x:c>
      <x:c r="E127" s="10" t="str">
        <x:v>FD3 180 x 240 烤漆鋼板門(防火門標準)</x:v>
      </x:c>
      <x:c r="F127" s="10" t="str">
        <x:v>樘</x:v>
      </x:c>
      <x:c r="G127" s="17" t="n">
        <x:v>1</x:v>
      </x:c>
      <x:c r="H127" s="17" t="n">
        <x:v>58800</x:v>
      </x:c>
      <x:c r="I127" s="18" t="n">
        <x:v>58800</x:v>
      </x:c>
      <x:c r="J127" s="14" t="n">
        <x:f>IF(OR(G127="",H127=""),"",ROUND(G127*H127,0))</x:f>
        <x:v>58800</x:v>
      </x:c>
      <x:c r="K127" s="14" t="n">
        <x:f>IF(OR(I127="",J127=""),"",I127-J127)</x:f>
        <x:v>0</x:v>
      </x:c>
      <x:c r="L127" s="10" t="str">
        <x:v>60A</x:v>
      </x:c>
      <x:c r="M127" s="10" t="n">
        <x:v>6</x:v>
      </x:c>
      <x:c r="N127" s="10" t="str">
        <x:v>工程明細</x:v>
      </x:c>
      <x:c r="O127" s="10" t="str">
        <x:v>門窗工程</x:v>
      </x:c>
      <x:c r="P127" s="10" t="str"/>
    </x:row>
    <x:row r="128" ht="15" customHeight="1">
      <x:c r="A128" s="9" t="str">
        <x:v>lidong-123</x:v>
      </x:c>
      <x:c r="B128" s="9" t="str">
        <x:v>門窗工程</x:v>
      </x:c>
      <x:c r="C128" s="9" t="str"/>
      <x:c r="D128" s="9" t="str">
        <x:v>23</x:v>
      </x:c>
      <x:c r="E128" s="9" t="str">
        <x:v>FD4 100 x 220 烤漆鋼板門(防火門標準)</x:v>
      </x:c>
      <x:c r="F128" s="9" t="str">
        <x:v>樘</x:v>
      </x:c>
      <x:c r="G128" s="15" t="n">
        <x:v>2</x:v>
      </x:c>
      <x:c r="H128" s="15" t="n">
        <x:v>29400</x:v>
      </x:c>
      <x:c r="I128" s="16" t="n">
        <x:v>58800</x:v>
      </x:c>
      <x:c r="J128" s="13" t="n">
        <x:f>IF(OR(G128="",H128=""),"",ROUND(G128*H128,0))</x:f>
        <x:v>58800</x:v>
      </x:c>
      <x:c r="K128" s="13" t="n">
        <x:f>IF(OR(I128="",J128=""),"",I128-J128)</x:f>
        <x:v>0</x:v>
      </x:c>
      <x:c r="L128" s="9" t="str">
        <x:v>60A</x:v>
      </x:c>
      <x:c r="M128" s="9" t="n">
        <x:v>6</x:v>
      </x:c>
      <x:c r="N128" s="9" t="str">
        <x:v>工程明細</x:v>
      </x:c>
      <x:c r="O128" s="9" t="str">
        <x:v>門窗工程</x:v>
      </x:c>
      <x:c r="P128" s="9" t="str"/>
    </x:row>
    <x:row r="129" ht="15" customHeight="1">
      <x:c r="A129" s="10" t="str">
        <x:v>lidong-124</x:v>
      </x:c>
      <x:c r="B129" s="10" t="str">
        <x:v>門窗工程</x:v>
      </x:c>
      <x:c r="C129" s="10" t="str"/>
      <x:c r="D129" s="10" t="str">
        <x:v>24</x:v>
      </x:c>
      <x:c r="E129" s="10" t="str">
        <x:v>FD5 205 x 240 烤漆鋼板門(防火門標準)</x:v>
      </x:c>
      <x:c r="F129" s="10" t="str">
        <x:v>樘</x:v>
      </x:c>
      <x:c r="G129" s="17" t="n">
        <x:v>1</x:v>
      </x:c>
      <x:c r="H129" s="17" t="n">
        <x:v>58900</x:v>
      </x:c>
      <x:c r="I129" s="18" t="n">
        <x:v>58900</x:v>
      </x:c>
      <x:c r="J129" s="14" t="n">
        <x:f>IF(OR(G129="",H129=""),"",ROUND(G129*H129,0))</x:f>
        <x:v>58900</x:v>
      </x:c>
      <x:c r="K129" s="14" t="n">
        <x:f>IF(OR(I129="",J129=""),"",I129-J129)</x:f>
        <x:v>0</x:v>
      </x:c>
      <x:c r="L129" s="10" t="str">
        <x:v>60B</x:v>
      </x:c>
      <x:c r="M129" s="10" t="n">
        <x:v>6</x:v>
      </x:c>
      <x:c r="N129" s="10" t="str">
        <x:v>工程明細</x:v>
      </x:c>
      <x:c r="O129" s="10" t="str">
        <x:v>門窗工程</x:v>
      </x:c>
      <x:c r="P129" s="10" t="str"/>
    </x:row>
    <x:row r="130" ht="15" customHeight="1">
      <x:c r="A130" s="9" t="str">
        <x:v>lidong-125</x:v>
      </x:c>
      <x:c r="B130" s="9" t="str">
        <x:v>門窗工程</x:v>
      </x:c>
      <x:c r="C130" s="9" t="str"/>
      <x:c r="D130" s="9" t="str">
        <x:v>25</x:v>
      </x:c>
      <x:c r="E130" s="9" t="str">
        <x:v>SD1 520 x (316 + 44) 快速捲門</x:v>
      </x:c>
      <x:c r="F130" s="9" t="str">
        <x:v>樘</x:v>
      </x:c>
      <x:c r="G130" s="15" t="n">
        <x:v>1</x:v>
      </x:c>
      <x:c r="H130" s="15" t="n">
        <x:v>121900</x:v>
      </x:c>
      <x:c r="I130" s="16" t="n">
        <x:v>121900</x:v>
      </x:c>
      <x:c r="J130" s="13" t="n">
        <x:f>IF(OR(G130="",H130=""),"",ROUND(G130*H130,0))</x:f>
        <x:v>121900</x:v>
      </x:c>
      <x:c r="K130" s="13" t="n">
        <x:f>IF(OR(I130="",J130=""),"",I130-J130)</x:f>
        <x:v>0</x:v>
      </x:c>
      <x:c r="L130" s="9" t="str"/>
      <x:c r="M130" s="9" t="n">
        <x:v>6</x:v>
      </x:c>
      <x:c r="N130" s="9" t="str">
        <x:v>工程明細</x:v>
      </x:c>
      <x:c r="O130" s="9" t="str">
        <x:v>門窗工程</x:v>
      </x:c>
      <x:c r="P130" s="9" t="str"/>
    </x:row>
    <x:row r="131" ht="15" customHeight="1">
      <x:c r="A131" s="10" t="str">
        <x:v>lidong-126</x:v>
      </x:c>
      <x:c r="B131" s="10" t="str">
        <x:v>門窗工程</x:v>
      </x:c>
      <x:c r="C131" s="10" t="str"/>
      <x:c r="D131" s="10" t="str">
        <x:v>26</x:v>
      </x:c>
      <x:c r="E131" s="10" t="str">
        <x:v>SD2 520 x (352 + 48) 快速捲門</x:v>
      </x:c>
      <x:c r="F131" s="10" t="str">
        <x:v>樘</x:v>
      </x:c>
      <x:c r="G131" s="17" t="n">
        <x:v>1</x:v>
      </x:c>
      <x:c r="H131" s="17" t="n">
        <x:v>135700</x:v>
      </x:c>
      <x:c r="I131" s="18" t="n">
        <x:v>135700</x:v>
      </x:c>
      <x:c r="J131" s="14" t="n">
        <x:f>IF(OR(G131="",H131=""),"",ROUND(G131*H131,0))</x:f>
        <x:v>135700</x:v>
      </x:c>
      <x:c r="K131" s="14" t="n">
        <x:f>IF(OR(I131="",J131=""),"",I131-J131)</x:f>
        <x:v>0</x:v>
      </x:c>
      <x:c r="L131" s="10" t="str"/>
      <x:c r="M131" s="10" t="n">
        <x:v>6</x:v>
      </x:c>
      <x:c r="N131" s="10" t="str">
        <x:v>工程明細</x:v>
      </x:c>
      <x:c r="O131" s="10" t="str">
        <x:v>門窗工程</x:v>
      </x:c>
      <x:c r="P131" s="10" t="str"/>
    </x:row>
    <x:row r="132" ht="15" customHeight="1">
      <x:c r="A132" s="9" t="str">
        <x:v>lidong-127</x:v>
      </x:c>
      <x:c r="B132" s="9" t="str">
        <x:v>門窗工程</x:v>
      </x:c>
      <x:c r="C132" s="9" t="str"/>
      <x:c r="D132" s="9" t="str">
        <x:v>27</x:v>
      </x:c>
      <x:c r="E132" s="9" t="str">
        <x:v>SFD1 200 x (336 + 44) 防火捲門</x:v>
      </x:c>
      <x:c r="F132" s="9" t="str">
        <x:v>樘</x:v>
      </x:c>
      <x:c r="G132" s="15" t="n">
        <x:v>1</x:v>
      </x:c>
      <x:c r="H132" s="15" t="n">
        <x:v>125400</x:v>
      </x:c>
      <x:c r="I132" s="16" t="n">
        <x:v>125400</x:v>
      </x:c>
      <x:c r="J132" s="13" t="n">
        <x:f>IF(OR(G132="",H132=""),"",ROUND(G132*H132,0))</x:f>
        <x:v>125400</x:v>
      </x:c>
      <x:c r="K132" s="13" t="n">
        <x:f>IF(OR(I132="",J132=""),"",I132-J132)</x:f>
        <x:v>0</x:v>
      </x:c>
      <x:c r="L132" s="9" t="str">
        <x:v>60A</x:v>
      </x:c>
      <x:c r="M132" s="9" t="n">
        <x:v>6</x:v>
      </x:c>
      <x:c r="N132" s="9" t="str">
        <x:v>工程明細</x:v>
      </x:c>
      <x:c r="O132" s="9" t="str">
        <x:v>門窗工程</x:v>
      </x:c>
      <x:c r="P132" s="9" t="str"/>
    </x:row>
    <x:row r="133" ht="15" customHeight="1">
      <x:c r="A133" s="10" t="str">
        <x:v>lidong-128</x:v>
      </x:c>
      <x:c r="B133" s="10" t="str">
        <x:v>門窗工程</x:v>
      </x:c>
      <x:c r="C133" s="10" t="str"/>
      <x:c r="D133" s="10" t="str">
        <x:v>28</x:v>
      </x:c>
      <x:c r="E133" s="10" t="str">
        <x:v>SFD2 450 x (332 + 48) 防火捲門</x:v>
      </x:c>
      <x:c r="F133" s="10" t="str">
        <x:v>樘</x:v>
      </x:c>
      <x:c r="G133" s="17" t="n">
        <x:v>2</x:v>
      </x:c>
      <x:c r="H133" s="17" t="n">
        <x:v>242600</x:v>
      </x:c>
      <x:c r="I133" s="18" t="n">
        <x:v>485200</x:v>
      </x:c>
      <x:c r="J133" s="14" t="n">
        <x:f>IF(OR(G133="",H133=""),"",ROUND(G133*H133,0))</x:f>
        <x:v>485200</x:v>
      </x:c>
      <x:c r="K133" s="14" t="n">
        <x:f>IF(OR(I133="",J133=""),"",I133-J133)</x:f>
        <x:v>0</x:v>
      </x:c>
      <x:c r="L133" s="10" t="str">
        <x:v>60A</x:v>
      </x:c>
      <x:c r="M133" s="10" t="n">
        <x:v>7</x:v>
      </x:c>
      <x:c r="N133" s="10" t="str">
        <x:v>工程明細</x:v>
      </x:c>
      <x:c r="O133" s="10" t="str">
        <x:v>門窗工程</x:v>
      </x:c>
      <x:c r="P133" s="10" t="str"/>
    </x:row>
    <x:row r="134" ht="15" customHeight="1">
      <x:c r="A134" s="9" t="str">
        <x:v>lidong-129</x:v>
      </x:c>
      <x:c r="B134" s="9" t="str">
        <x:v>門窗工程</x:v>
      </x:c>
      <x:c r="C134" s="9" t="str"/>
      <x:c r="D134" s="9" t="str">
        <x:v>29</x:v>
      </x:c>
      <x:c r="E134" s="9" t="str">
        <x:v>SFD3 455 x (336 + 44) 防火捲門</x:v>
      </x:c>
      <x:c r="F134" s="9" t="str">
        <x:v>樘</x:v>
      </x:c>
      <x:c r="G134" s="15" t="n">
        <x:v>1</x:v>
      </x:c>
      <x:c r="H134" s="15" t="n">
        <x:v>244900</x:v>
      </x:c>
      <x:c r="I134" s="16" t="n">
        <x:v>244900</x:v>
      </x:c>
      <x:c r="J134" s="13" t="n">
        <x:f>IF(OR(G134="",H134=""),"",ROUND(G134*H134,0))</x:f>
        <x:v>244900</x:v>
      </x:c>
      <x:c r="K134" s="13" t="n">
        <x:f>IF(OR(I134="",J134=""),"",I134-J134)</x:f>
        <x:v>0</x:v>
      </x:c>
      <x:c r="L134" s="9" t="str">
        <x:v>60A</x:v>
      </x:c>
      <x:c r="M134" s="9" t="n">
        <x:v>7</x:v>
      </x:c>
      <x:c r="N134" s="9" t="str">
        <x:v>工程明細</x:v>
      </x:c>
      <x:c r="O134" s="9" t="str">
        <x:v>門窗工程</x:v>
      </x:c>
      <x:c r="P134" s="9" t="str"/>
    </x:row>
    <x:row r="135" ht="15" customHeight="1">
      <x:c r="A135" s="10" t="str">
        <x:v>lidong-130</x:v>
      </x:c>
      <x:c r="B135" s="10" t="str">
        <x:v>門窗工程</x:v>
      </x:c>
      <x:c r="C135" s="10" t="str"/>
      <x:c r="D135" s="10" t="str">
        <x:v>30</x:v>
      </x:c>
      <x:c r="E135" s="10" t="str">
        <x:v>W 110 x 190 固定鋁窗</x:v>
      </x:c>
      <x:c r="F135" s="10" t="str">
        <x:v>樘</x:v>
      </x:c>
      <x:c r="G135" s="17" t="n">
        <x:v>1</x:v>
      </x:c>
      <x:c r="H135" s="17" t="n">
        <x:v>11600</x:v>
      </x:c>
      <x:c r="I135" s="18" t="n">
        <x:v>11600</x:v>
      </x:c>
      <x:c r="J135" s="14" t="n">
        <x:f>IF(OR(G135="",H135=""),"",ROUND(G135*H135,0))</x:f>
        <x:v>11600</x:v>
      </x:c>
      <x:c r="K135" s="14" t="n">
        <x:f>IF(OR(I135="",J135=""),"",I135-J135)</x:f>
        <x:v>0</x:v>
      </x:c>
      <x:c r="L135" s="10" t="str">
        <x:v>5清+5灰強化玻璃</x:v>
      </x:c>
      <x:c r="M135" s="10" t="n">
        <x:v>7</x:v>
      </x:c>
      <x:c r="N135" s="10" t="str">
        <x:v>工程明細</x:v>
      </x:c>
      <x:c r="O135" s="10" t="str">
        <x:v>門窗工程</x:v>
      </x:c>
      <x:c r="P135" s="10" t="str"/>
    </x:row>
    <x:row r="136" ht="15" customHeight="1">
      <x:c r="A136" s="9" t="str">
        <x:v>lidong-131</x:v>
      </x:c>
      <x:c r="B136" s="9" t="str">
        <x:v>門窗工程</x:v>
      </x:c>
      <x:c r="C136" s="9" t="str"/>
      <x:c r="D136" s="9" t="str">
        <x:v>31</x:v>
      </x:c>
      <x:c r="E136" s="9" t="str">
        <x:v>W1 70 x 140 氣密鋁門窗</x:v>
      </x:c>
      <x:c r="F136" s="9" t="str">
        <x:v>樘</x:v>
      </x:c>
      <x:c r="G136" s="15" t="n">
        <x:v>23</x:v>
      </x:c>
      <x:c r="H136" s="15" t="n">
        <x:v>12600</x:v>
      </x:c>
      <x:c r="I136" s="16" t="n">
        <x:v>289800</x:v>
      </x:c>
      <x:c r="J136" s="13" t="n">
        <x:f>IF(OR(G136="",H136=""),"",ROUND(G136*H136,0))</x:f>
        <x:v>289800</x:v>
      </x:c>
      <x:c r="K136" s="13" t="n">
        <x:f>IF(OR(I136="",J136=""),"",I136-J136)</x:f>
        <x:v>0</x:v>
      </x:c>
      <x:c r="L136" s="9" t="str">
        <x:v>5清+5灰強化玻璃，附 隱藏式紗窗、三點連動 式開關</x:v>
      </x:c>
      <x:c r="M136" s="9" t="n">
        <x:v>7</x:v>
      </x:c>
      <x:c r="N136" s="9" t="str">
        <x:v>工程明細</x:v>
      </x:c>
      <x:c r="O136" s="9" t="str">
        <x:v>門窗工程</x:v>
      </x:c>
      <x:c r="P136" s="9" t="str"/>
    </x:row>
    <x:row r="137" ht="15" customHeight="1">
      <x:c r="A137" s="10" t="str">
        <x:v>lidong-132</x:v>
      </x:c>
      <x:c r="B137" s="10" t="str">
        <x:v>門窗工程</x:v>
      </x:c>
      <x:c r="C137" s="10" t="str"/>
      <x:c r="D137" s="10" t="str">
        <x:v>32</x:v>
      </x:c>
      <x:c r="E137" s="10" t="str">
        <x:v>W1a 60 x 120 氣密鋁門窗</x:v>
      </x:c>
      <x:c r="F137" s="10" t="str">
        <x:v>樘</x:v>
      </x:c>
      <x:c r="G137" s="17" t="n">
        <x:v>4</x:v>
      </x:c>
      <x:c r="H137" s="17" t="n">
        <x:v>10500</x:v>
      </x:c>
      <x:c r="I137" s="18" t="n">
        <x:v>42000</x:v>
      </x:c>
      <x:c r="J137" s="14" t="n">
        <x:f>IF(OR(G137="",H137=""),"",ROUND(G137*H137,0))</x:f>
        <x:v>42000</x:v>
      </x:c>
      <x:c r="K137" s="14" t="n">
        <x:f>IF(OR(I137="",J137=""),"",I137-J137)</x:f>
        <x:v>0</x:v>
      </x:c>
      <x:c r="L137" s="10" t="str">
        <x:v>5清+5灰強化玻璃，附 隱藏式紗窗、三點連動 式開關</x:v>
      </x:c>
      <x:c r="M137" s="10" t="n">
        <x:v>7</x:v>
      </x:c>
      <x:c r="N137" s="10" t="str">
        <x:v>工程明細</x:v>
      </x:c>
      <x:c r="O137" s="10" t="str">
        <x:v>門窗工程</x:v>
      </x:c>
      <x:c r="P137" s="10" t="str"/>
    </x:row>
    <x:row r="138" ht="15" customHeight="1">
      <x:c r="A138" s="9" t="str">
        <x:v>lidong-133</x:v>
      </x:c>
      <x:c r="B138" s="9" t="str">
        <x:v>門窗工程</x:v>
      </x:c>
      <x:c r="C138" s="9" t="str"/>
      <x:c r="D138" s="9" t="str">
        <x:v>33</x:v>
      </x:c>
      <x:c r="E138" s="9" t="str">
        <x:v>W2 120 x 330 氣密鋁門窗</x:v>
      </x:c>
      <x:c r="F138" s="9" t="str">
        <x:v>樘</x:v>
      </x:c>
      <x:c r="G138" s="15" t="n">
        <x:v>1</x:v>
      </x:c>
      <x:c r="H138" s="15" t="n">
        <x:v>25200</x:v>
      </x:c>
      <x:c r="I138" s="16" t="n">
        <x:v>25200</x:v>
      </x:c>
      <x:c r="J138" s="13" t="n">
        <x:f>IF(OR(G138="",H138=""),"",ROUND(G138*H138,0))</x:f>
        <x:v>25200</x:v>
      </x:c>
      <x:c r="K138" s="13" t="n">
        <x:f>IF(OR(I138="",J138=""),"",I138-J138)</x:f>
        <x:v>0</x:v>
      </x:c>
      <x:c r="L138" s="9" t="str">
        <x:v>5清+5灰強化玻璃，附 隱藏式紗窗、三點連動 式開關</x:v>
      </x:c>
      <x:c r="M138" s="9" t="n">
        <x:v>7</x:v>
      </x:c>
      <x:c r="N138" s="9" t="str">
        <x:v>工程明細</x:v>
      </x:c>
      <x:c r="O138" s="9" t="str">
        <x:v>門窗工程</x:v>
      </x:c>
      <x:c r="P138" s="9" t="str"/>
    </x:row>
    <x:row r="139" ht="15" customHeight="1">
      <x:c r="A139" s="10" t="str">
        <x:v>lidong-134</x:v>
      </x:c>
      <x:c r="B139" s="10" t="str">
        <x:v>門窗工程</x:v>
      </x:c>
      <x:c r="C139" s="10" t="str"/>
      <x:c r="D139" s="10" t="str">
        <x:v>34</x:v>
      </x:c>
      <x:c r="E139" s="10" t="str">
        <x:v>W3 215 x 210 氣密鋁門窗</x:v>
      </x:c>
      <x:c r="F139" s="10" t="str">
        <x:v>樘</x:v>
      </x:c>
      <x:c r="G139" s="17" t="n">
        <x:v>3</x:v>
      </x:c>
      <x:c r="H139" s="17" t="n">
        <x:v>30300</x:v>
      </x:c>
      <x:c r="I139" s="18" t="n">
        <x:v>90900</x:v>
      </x:c>
      <x:c r="J139" s="14" t="n">
        <x:f>IF(OR(G139="",H139=""),"",ROUND(G139*H139,0))</x:f>
        <x:v>90900</x:v>
      </x:c>
      <x:c r="K139" s="14" t="n">
        <x:f>IF(OR(I139="",J139=""),"",I139-J139)</x:f>
        <x:v>0</x:v>
      </x:c>
      <x:c r="L139" s="10" t="str">
        <x:v>5清+5灰強化玻璃</x:v>
      </x:c>
      <x:c r="M139" s="10" t="n">
        <x:v>7</x:v>
      </x:c>
      <x:c r="N139" s="10" t="str">
        <x:v>工程明細</x:v>
      </x:c>
      <x:c r="O139" s="10" t="str">
        <x:v>門窗工程</x:v>
      </x:c>
      <x:c r="P139" s="10" t="str"/>
    </x:row>
    <x:row r="140" ht="15" customHeight="1">
      <x:c r="A140" s="9" t="str">
        <x:v>lidong-135</x:v>
      </x:c>
      <x:c r="B140" s="9" t="str">
        <x:v>門窗工程</x:v>
      </x:c>
      <x:c r="C140" s="9" t="str"/>
      <x:c r="D140" s="9" t="str">
        <x:v>35</x:v>
      </x:c>
      <x:c r="E140" s="9" t="str">
        <x:v>W4 425 x 210 氣密鋁門窗</x:v>
      </x:c>
      <x:c r="F140" s="9" t="str">
        <x:v>樘</x:v>
      </x:c>
      <x:c r="G140" s="15" t="n">
        <x:v>8</x:v>
      </x:c>
      <x:c r="H140" s="15" t="n">
        <x:v>52500</x:v>
      </x:c>
      <x:c r="I140" s="16" t="n">
        <x:v>420000</x:v>
      </x:c>
      <x:c r="J140" s="13" t="n">
        <x:f>IF(OR(G140="",H140=""),"",ROUND(G140*H140,0))</x:f>
        <x:v>420000</x:v>
      </x:c>
      <x:c r="K140" s="13" t="n">
        <x:f>IF(OR(I140="",J140=""),"",I140-J140)</x:f>
        <x:v>0</x:v>
      </x:c>
      <x:c r="L140" s="9" t="str">
        <x:v>5清+5灰強化玻璃</x:v>
      </x:c>
      <x:c r="M140" s="9" t="n">
        <x:v>7</x:v>
      </x:c>
      <x:c r="N140" s="9" t="str">
        <x:v>工程明細</x:v>
      </x:c>
      <x:c r="O140" s="9" t="str">
        <x:v>門窗工程</x:v>
      </x:c>
      <x:c r="P140" s="9" t="str"/>
    </x:row>
    <x:row r="141" ht="15" customHeight="1">
      <x:c r="A141" s="10" t="str">
        <x:v>lidong-136</x:v>
      </x:c>
      <x:c r="B141" s="10" t="str">
        <x:v>門窗工程</x:v>
      </x:c>
      <x:c r="C141" s="10" t="str"/>
      <x:c r="D141" s="10" t="str">
        <x:v>36</x:v>
      </x:c>
      <x:c r="E141" s="10" t="str">
        <x:v>W5 320 x 210 氣密鋁門窗</x:v>
      </x:c>
      <x:c r="F141" s="10" t="str">
        <x:v>樘</x:v>
      </x:c>
      <x:c r="G141" s="17" t="n">
        <x:v>9</x:v>
      </x:c>
      <x:c r="H141" s="17" t="n">
        <x:v>41400</x:v>
      </x:c>
      <x:c r="I141" s="18" t="n">
        <x:v>372600</x:v>
      </x:c>
      <x:c r="J141" s="14" t="n">
        <x:f>IF(OR(G141="",H141=""),"",ROUND(G141*H141,0))</x:f>
        <x:v>372600</x:v>
      </x:c>
      <x:c r="K141" s="14" t="n">
        <x:f>IF(OR(I141="",J141=""),"",I141-J141)</x:f>
        <x:v>0</x:v>
      </x:c>
      <x:c r="L141" s="10" t="str">
        <x:v>5清+5灰強化玻璃</x:v>
      </x:c>
      <x:c r="M141" s="10" t="n">
        <x:v>7</x:v>
      </x:c>
      <x:c r="N141" s="10" t="str">
        <x:v>工程明細</x:v>
      </x:c>
      <x:c r="O141" s="10" t="str">
        <x:v>門窗工程</x:v>
      </x:c>
      <x:c r="P141" s="10" t="str"/>
    </x:row>
    <x:row r="142" ht="15" customHeight="1">
      <x:c r="A142" s="9" t="str">
        <x:v>lidong-137</x:v>
      </x:c>
      <x:c r="B142" s="9" t="str">
        <x:v>門窗工程</x:v>
      </x:c>
      <x:c r="C142" s="9" t="str"/>
      <x:c r="D142" s="9" t="str">
        <x:v>37</x:v>
      </x:c>
      <x:c r="E142" s="9" t="str">
        <x:v>W6 200 x 60 氣密鋁門窗</x:v>
      </x:c>
      <x:c r="F142" s="9" t="str">
        <x:v>樘</x:v>
      </x:c>
      <x:c r="G142" s="15" t="n">
        <x:v>2</x:v>
      </x:c>
      <x:c r="H142" s="15" t="n">
        <x:v>8100</x:v>
      </x:c>
      <x:c r="I142" s="16" t="n">
        <x:v>16200</x:v>
      </x:c>
      <x:c r="J142" s="13" t="n">
        <x:f>IF(OR(G142="",H142=""),"",ROUND(G142*H142,0))</x:f>
        <x:v>16200</x:v>
      </x:c>
      <x:c r="K142" s="13" t="n">
        <x:f>IF(OR(I142="",J142=""),"",I142-J142)</x:f>
        <x:v>0</x:v>
      </x:c>
      <x:c r="L142" s="9" t="str">
        <x:v>5清+5灰強化玻璃，附 隱藏式紗窗、三點連動 式開關</x:v>
      </x:c>
      <x:c r="M142" s="9" t="n">
        <x:v>7</x:v>
      </x:c>
      <x:c r="N142" s="9" t="str">
        <x:v>工程明細</x:v>
      </x:c>
      <x:c r="O142" s="9" t="str">
        <x:v>門窗工程</x:v>
      </x:c>
      <x:c r="P142" s="9" t="str"/>
    </x:row>
    <x:row r="143" ht="15" customHeight="1">
      <x:c r="A143" s="10" t="str">
        <x:v>lidong-138</x:v>
      </x:c>
      <x:c r="B143" s="10" t="str">
        <x:v>門窗工程</x:v>
      </x:c>
      <x:c r="C143" s="10" t="str"/>
      <x:c r="D143" s="10" t="str">
        <x:v>38</x:v>
      </x:c>
      <x:c r="E143" s="10" t="str">
        <x:v>W7 350 x 80 氣密鋁門窗</x:v>
      </x:c>
      <x:c r="F143" s="10" t="str">
        <x:v>樘</x:v>
      </x:c>
      <x:c r="G143" s="17" t="n">
        <x:v>1</x:v>
      </x:c>
      <x:c r="H143" s="17" t="n">
        <x:v>22900</x:v>
      </x:c>
      <x:c r="I143" s="18" t="n">
        <x:v>22900</x:v>
      </x:c>
      <x:c r="J143" s="14" t="n">
        <x:f>IF(OR(G143="",H143=""),"",ROUND(G143*H143,0))</x:f>
        <x:v>22900</x:v>
      </x:c>
      <x:c r="K143" s="14" t="n">
        <x:f>IF(OR(I143="",J143=""),"",I143-J143)</x:f>
        <x:v>0</x:v>
      </x:c>
      <x:c r="L143" s="10" t="str">
        <x:v>5清+5灰強化玻璃，附 隱藏式紗窗、三點連動 式開關</x:v>
      </x:c>
      <x:c r="M143" s="10" t="n">
        <x:v>7</x:v>
      </x:c>
      <x:c r="N143" s="10" t="str">
        <x:v>工程明細</x:v>
      </x:c>
      <x:c r="O143" s="10" t="str">
        <x:v>門窗工程</x:v>
      </x:c>
      <x:c r="P143" s="10" t="str"/>
    </x:row>
    <x:row r="144" ht="15" customHeight="1">
      <x:c r="A144" s="9" t="str">
        <x:v>lidong-139</x:v>
      </x:c>
      <x:c r="B144" s="9" t="str">
        <x:v>門窗工程</x:v>
      </x:c>
      <x:c r="C144" s="9" t="str"/>
      <x:c r="D144" s="9" t="str">
        <x:v>39</x:v>
      </x:c>
      <x:c r="E144" s="9" t="str">
        <x:v>W9 180 x 70 氣密鋁門窗</x:v>
      </x:c>
      <x:c r="F144" s="9" t="str">
        <x:v>樘</x:v>
      </x:c>
      <x:c r="G144" s="15" t="n">
        <x:v>10</x:v>
      </x:c>
      <x:c r="H144" s="15" t="n">
        <x:v>22300</x:v>
      </x:c>
      <x:c r="I144" s="16" t="n">
        <x:v>223000</x:v>
      </x:c>
      <x:c r="J144" s="13" t="n">
        <x:f>IF(OR(G144="",H144=""),"",ROUND(G144*H144,0))</x:f>
        <x:v>223000</x:v>
      </x:c>
      <x:c r="K144" s="13" t="n">
        <x:f>IF(OR(I144="",J144=""),"",I144-J144)</x:f>
        <x:v>0</x:v>
      </x:c>
      <x:c r="L144" s="9" t="str">
        <x:v>5清+5灰強化玻璃，附 隱藏式紗窗、三點連動 式開關</x:v>
      </x:c>
      <x:c r="M144" s="9" t="n">
        <x:v>7</x:v>
      </x:c>
      <x:c r="N144" s="9" t="str">
        <x:v>工程明細</x:v>
      </x:c>
      <x:c r="O144" s="9" t="str">
        <x:v>門窗工程</x:v>
      </x:c>
      <x:c r="P144" s="9" t="str"/>
    </x:row>
    <x:row r="145" ht="15" customHeight="1">
      <x:c r="A145" s="10" t="str">
        <x:v>lidong-140</x:v>
      </x:c>
      <x:c r="B145" s="10" t="str">
        <x:v>門窗工程</x:v>
      </x:c>
      <x:c r="C145" s="10" t="str"/>
      <x:c r="D145" s="10" t="str">
        <x:v>40</x:v>
      </x:c>
      <x:c r="E145" s="10" t="str">
        <x:v>W10-1 210 x 330 氣密鋁門窗</x:v>
      </x:c>
      <x:c r="F145" s="10" t="str">
        <x:v>樘</x:v>
      </x:c>
      <x:c r="G145" s="17" t="n">
        <x:v>1</x:v>
      </x:c>
      <x:c r="H145" s="17" t="n">
        <x:v>47000</x:v>
      </x:c>
      <x:c r="I145" s="18" t="n">
        <x:v>47000</x:v>
      </x:c>
      <x:c r="J145" s="14" t="n">
        <x:f>IF(OR(G145="",H145=""),"",ROUND(G145*H145,0))</x:f>
        <x:v>47000</x:v>
      </x:c>
      <x:c r="K145" s="14" t="n">
        <x:f>IF(OR(I145="",J145=""),"",I145-J145)</x:f>
        <x:v>0</x:v>
      </x:c>
      <x:c r="L145" s="10" t="str">
        <x:v>5清+5灰強化玻璃</x:v>
      </x:c>
      <x:c r="M145" s="10" t="n">
        <x:v>7</x:v>
      </x:c>
      <x:c r="N145" s="10" t="str">
        <x:v>工程明細</x:v>
      </x:c>
      <x:c r="O145" s="10" t="str">
        <x:v>門窗工程</x:v>
      </x:c>
      <x:c r="P145" s="10" t="str"/>
    </x:row>
    <x:row r="146" ht="15" customHeight="1">
      <x:c r="A146" s="9" t="str">
        <x:v>lidong-141</x:v>
      </x:c>
      <x:c r="B146" s="9" t="str">
        <x:v>門窗工程</x:v>
      </x:c>
      <x:c r="C146" s="9" t="str"/>
      <x:c r="D146" s="9" t="str">
        <x:v>41</x:v>
      </x:c>
      <x:c r="E146" s="9" t="str">
        <x:v>W10-2 510 x 330 氣密鋁門窗</x:v>
      </x:c>
      <x:c r="F146" s="9" t="str">
        <x:v>樘</x:v>
      </x:c>
      <x:c r="G146" s="15" t="n">
        <x:v>1</x:v>
      </x:c>
      <x:c r="H146" s="15" t="n">
        <x:v>139100</x:v>
      </x:c>
      <x:c r="I146" s="16" t="n">
        <x:v>139100</x:v>
      </x:c>
      <x:c r="J146" s="13" t="n">
        <x:f>IF(OR(G146="",H146=""),"",ROUND(G146*H146,0))</x:f>
        <x:v>139100</x:v>
      </x:c>
      <x:c r="K146" s="13" t="n">
        <x:f>IF(OR(I146="",J146=""),"",I146-J146)</x:f>
        <x:v>0</x:v>
      </x:c>
      <x:c r="L146" s="9" t="str">
        <x:v>5清+5灰強化玻璃</x:v>
      </x:c>
      <x:c r="M146" s="9" t="n">
        <x:v>7</x:v>
      </x:c>
      <x:c r="N146" s="9" t="str">
        <x:v>工程明細</x:v>
      </x:c>
      <x:c r="O146" s="9" t="str">
        <x:v>門窗工程</x:v>
      </x:c>
      <x:c r="P146" s="9" t="str"/>
    </x:row>
    <x:row r="147" ht="15" customHeight="1">
      <x:c r="A147" s="10" t="str">
        <x:v>lidong-142</x:v>
      </x:c>
      <x:c r="B147" s="10" t="str">
        <x:v>門窗工程</x:v>
      </x:c>
      <x:c r="C147" s="10" t="str"/>
      <x:c r="D147" s="10" t="str">
        <x:v>42</x:v>
      </x:c>
      <x:c r="E147" s="10" t="str">
        <x:v>W10-3 810 x 330 氣密鋁門窗</x:v>
      </x:c>
      <x:c r="F147" s="10" t="str">
        <x:v>樘</x:v>
      </x:c>
      <x:c r="G147" s="17" t="n">
        <x:v>2</x:v>
      </x:c>
      <x:c r="H147" s="17" t="n">
        <x:v>231200</x:v>
      </x:c>
      <x:c r="I147" s="18" t="n">
        <x:v>462400</x:v>
      </x:c>
      <x:c r="J147" s="14" t="n">
        <x:f>IF(OR(G147="",H147=""),"",ROUND(G147*H147,0))</x:f>
        <x:v>462400</x:v>
      </x:c>
      <x:c r="K147" s="14" t="n">
        <x:f>IF(OR(I147="",J147=""),"",I147-J147)</x:f>
        <x:v>0</x:v>
      </x:c>
      <x:c r="L147" s="10" t="str">
        <x:v>5清+5灰強化玻璃，附 隱藏式紗窗、三點連動 式開關</x:v>
      </x:c>
      <x:c r="M147" s="10" t="n">
        <x:v>7</x:v>
      </x:c>
      <x:c r="N147" s="10" t="str">
        <x:v>工程明細</x:v>
      </x:c>
      <x:c r="O147" s="10" t="str">
        <x:v>門窗工程</x:v>
      </x:c>
      <x:c r="P147" s="10" t="str"/>
    </x:row>
    <x:row r="148" ht="15" customHeight="1">
      <x:c r="A148" s="9" t="str">
        <x:v>lidong-143</x:v>
      </x:c>
      <x:c r="B148" s="9" t="str">
        <x:v>門窗工程</x:v>
      </x:c>
      <x:c r="C148" s="9" t="str"/>
      <x:c r="D148" s="9" t="str">
        <x:v>43</x:v>
      </x:c>
      <x:c r="E148" s="9" t="str">
        <x:v>W11 265 x 330 氣密鋁門窗</x:v>
      </x:c>
      <x:c r="F148" s="9" t="str">
        <x:v>樘</x:v>
      </x:c>
      <x:c r="G148" s="15" t="n">
        <x:v>2</x:v>
      </x:c>
      <x:c r="H148" s="15" t="n">
        <x:v>64700</x:v>
      </x:c>
      <x:c r="I148" s="16" t="n">
        <x:v>129400</x:v>
      </x:c>
      <x:c r="J148" s="13" t="n">
        <x:f>IF(OR(G148="",H148=""),"",ROUND(G148*H148,0))</x:f>
        <x:v>129400</x:v>
      </x:c>
      <x:c r="K148" s="13" t="n">
        <x:f>IF(OR(I148="",J148=""),"",I148-J148)</x:f>
        <x:v>0</x:v>
      </x:c>
      <x:c r="L148" s="9" t="str">
        <x:v>5清+5灰強化玻璃</x:v>
      </x:c>
      <x:c r="M148" s="9" t="n">
        <x:v>7</x:v>
      </x:c>
      <x:c r="N148" s="9" t="str">
        <x:v>工程明細</x:v>
      </x:c>
      <x:c r="O148" s="9" t="str">
        <x:v>門窗工程</x:v>
      </x:c>
      <x:c r="P148" s="9" t="str"/>
    </x:row>
    <x:row r="149" ht="15" customHeight="1">
      <x:c r="A149" s="10" t="str">
        <x:v>lidong-144</x:v>
      </x:c>
      <x:c r="B149" s="10" t="str">
        <x:v>門窗工程</x:v>
      </x:c>
      <x:c r="C149" s="10" t="str"/>
      <x:c r="D149" s="10" t="str">
        <x:v>44</x:v>
      </x:c>
      <x:c r="E149" s="10" t="str">
        <x:v>W12 610 x 245 氣密鋁門窗</x:v>
      </x:c>
      <x:c r="F149" s="10" t="str">
        <x:v>樘</x:v>
      </x:c>
      <x:c r="G149" s="17" t="n">
        <x:v>1</x:v>
      </x:c>
      <x:c r="H149" s="17" t="n">
        <x:v>112800</x:v>
      </x:c>
      <x:c r="I149" s="18" t="n">
        <x:v>112800</x:v>
      </x:c>
      <x:c r="J149" s="14" t="n">
        <x:f>IF(OR(G149="",H149=""),"",ROUND(G149*H149,0))</x:f>
        <x:v>112800</x:v>
      </x:c>
      <x:c r="K149" s="14" t="n">
        <x:f>IF(OR(I149="",J149=""),"",I149-J149)</x:f>
        <x:v>0</x:v>
      </x:c>
      <x:c r="L149" s="10" t="str">
        <x:v>5清+5灰強化玻璃</x:v>
      </x:c>
      <x:c r="M149" s="10" t="n">
        <x:v>7</x:v>
      </x:c>
      <x:c r="N149" s="10" t="str">
        <x:v>工程明細</x:v>
      </x:c>
      <x:c r="O149" s="10" t="str">
        <x:v>門窗工程</x:v>
      </x:c>
      <x:c r="P149" s="10" t="str"/>
    </x:row>
    <x:row r="150" ht="15" customHeight="1">
      <x:c r="A150" s="9" t="str">
        <x:v>lidong-145</x:v>
      </x:c>
      <x:c r="B150" s="9" t="str">
        <x:v>門窗工程</x:v>
      </x:c>
      <x:c r="C150" s="9" t="str"/>
      <x:c r="D150" s="9" t="str">
        <x:v>45</x:v>
      </x:c>
      <x:c r="E150" s="9" t="str">
        <x:v>W13-1 150 x 1050 氣密鋁門窗</x:v>
      </x:c>
      <x:c r="F150" s="9" t="str">
        <x:v>樘</x:v>
      </x:c>
      <x:c r="G150" s="15" t="n">
        <x:v>1</x:v>
      </x:c>
      <x:c r="H150" s="15" t="n">
        <x:v>522100</x:v>
      </x:c>
      <x:c r="I150" s="16" t="n">
        <x:v>522100</x:v>
      </x:c>
      <x:c r="J150" s="13" t="n">
        <x:f>IF(OR(G150="",H150=""),"",ROUND(G150*H150,0))</x:f>
        <x:v>522100</x:v>
      </x:c>
      <x:c r="K150" s="13" t="n">
        <x:f>IF(OR(I150="",J150=""),"",I150-J150)</x:f>
        <x:v>0</x:v>
      </x:c>
      <x:c r="L150" s="9" t="str">
        <x:v>5清+5灰強化玻璃，附 隱藏式紗窗、三點連動 式開關</x:v>
      </x:c>
      <x:c r="M150" s="9" t="n">
        <x:v>7</x:v>
      </x:c>
      <x:c r="N150" s="9" t="str">
        <x:v>工程明細</x:v>
      </x:c>
      <x:c r="O150" s="9" t="str">
        <x:v>門窗工程</x:v>
      </x:c>
      <x:c r="P150" s="9" t="str"/>
    </x:row>
    <x:row r="151" ht="15" customHeight="1">
      <x:c r="A151" s="10" t="str">
        <x:v>lidong-146</x:v>
      </x:c>
      <x:c r="B151" s="10" t="str">
        <x:v>門窗工程</x:v>
      </x:c>
      <x:c r="C151" s="10" t="str"/>
      <x:c r="D151" s="10" t="str">
        <x:v>46</x:v>
      </x:c>
      <x:c r="E151" s="10" t="str">
        <x:v>W13-2 250 x 1050 氣密鋁門窗</x:v>
      </x:c>
      <x:c r="F151" s="10" t="str">
        <x:v>樘</x:v>
      </x:c>
      <x:c r="G151" s="17" t="n">
        <x:v>1</x:v>
      </x:c>
      <x:c r="H151" s="17" t="n">
        <x:v>870100</x:v>
      </x:c>
      <x:c r="I151" s="18" t="n">
        <x:v>870100</x:v>
      </x:c>
      <x:c r="J151" s="14" t="n">
        <x:f>IF(OR(G151="",H151=""),"",ROUND(G151*H151,0))</x:f>
        <x:v>870100</x:v>
      </x:c>
      <x:c r="K151" s="14" t="n">
        <x:f>IF(OR(I151="",J151=""),"",I151-J151)</x:f>
        <x:v>0</x:v>
      </x:c>
      <x:c r="L151" s="10" t="str">
        <x:v>5清+5灰強化玻璃，附 隱藏式紗窗、三點連動 式開關</x:v>
      </x:c>
      <x:c r="M151" s="10" t="n">
        <x:v>7</x:v>
      </x:c>
      <x:c r="N151" s="10" t="str">
        <x:v>工程明細</x:v>
      </x:c>
      <x:c r="O151" s="10" t="str">
        <x:v>門窗工程</x:v>
      </x:c>
      <x:c r="P151" s="10" t="str"/>
    </x:row>
    <x:row r="152" ht="15" customHeight="1">
      <x:c r="A152" s="9" t="str">
        <x:v>lidong-147</x:v>
      </x:c>
      <x:c r="B152" s="9" t="str">
        <x:v>門窗工程</x:v>
      </x:c>
      <x:c r="C152" s="9" t="str"/>
      <x:c r="D152" s="9" t="str">
        <x:v>47</x:v>
      </x:c>
      <x:c r="E152" s="9" t="str">
        <x:v>W13-3 430 x 1050 氣密鋁門窗</x:v>
      </x:c>
      <x:c r="F152" s="9" t="str">
        <x:v>樘</x:v>
      </x:c>
      <x:c r="G152" s="15" t="n">
        <x:v>1</x:v>
      </x:c>
      <x:c r="H152" s="15" t="n">
        <x:v>1496600</x:v>
      </x:c>
      <x:c r="I152" s="16" t="n">
        <x:v>1496600</x:v>
      </x:c>
      <x:c r="J152" s="13" t="n">
        <x:f>IF(OR(G152="",H152=""),"",ROUND(G152*H152,0))</x:f>
        <x:v>1496600</x:v>
      </x:c>
      <x:c r="K152" s="13" t="n">
        <x:f>IF(OR(I152="",J152=""),"",I152-J152)</x:f>
        <x:v>0</x:v>
      </x:c>
      <x:c r="L152" s="9" t="str">
        <x:v>5清+5灰強化玻璃，附 隱藏式紗窗、三點連動 式開關</x:v>
      </x:c>
      <x:c r="M152" s="9" t="n">
        <x:v>7</x:v>
      </x:c>
      <x:c r="N152" s="9" t="str">
        <x:v>工程明細</x:v>
      </x:c>
      <x:c r="O152" s="9" t="str">
        <x:v>門窗工程</x:v>
      </x:c>
      <x:c r="P152" s="9" t="str"/>
    </x:row>
    <x:row r="153" ht="15" customHeight="1">
      <x:c r="A153" s="10" t="str">
        <x:v>lidong-148</x:v>
      </x:c>
      <x:c r="B153" s="10" t="str">
        <x:v>雜項工程</x:v>
      </x:c>
      <x:c r="C153" s="10" t="str"/>
      <x:c r="D153" s="10" t="str">
        <x:v>1</x:v>
      </x:c>
      <x:c r="E153" s="10" t="str">
        <x:v>無障礙電梯(1F-3F,3停) 12人座</x:v>
      </x:c>
      <x:c r="F153" s="10" t="str">
        <x:v>部</x:v>
      </x:c>
      <x:c r="G153" s="17" t="n">
        <x:v>1</x:v>
      </x:c>
      <x:c r="H153" s="17" t="n">
        <x:v>1243800</x:v>
      </x:c>
      <x:c r="I153" s="18" t="n">
        <x:v>1243800</x:v>
      </x:c>
      <x:c r="J153" s="14" t="n">
        <x:f>IF(OR(G153="",H153=""),"",ROUND(G153*H153,0))</x:f>
        <x:v>1243800</x:v>
      </x:c>
      <x:c r="K153" s="14" t="n">
        <x:f>IF(OR(I153="",J153=""),"",I153-J153)</x:f>
        <x:v>0</x:v>
      </x:c>
      <x:c r="L153" s="10" t="str">
        <x:v>60 ｍ/min(立穩、國 峰…等同等品牌)</x:v>
      </x:c>
      <x:c r="M153" s="10" t="n">
        <x:v>7</x:v>
      </x:c>
      <x:c r="N153" s="10" t="str">
        <x:v>工程明細</x:v>
      </x:c>
      <x:c r="O153" s="10" t="str">
        <x:v>設備、雜項及室外</x:v>
      </x:c>
      <x:c r="P153" s="10" t="str"/>
    </x:row>
    <x:row r="154" ht="15" customHeight="1">
      <x:c r="A154" s="9" t="str">
        <x:v>lidong-149</x:v>
      </x:c>
      <x:c r="B154" s="9" t="str">
        <x:v>雜項工程</x:v>
      </x:c>
      <x:c r="C154" s="9" t="str"/>
      <x:c r="D154" s="9" t="str">
        <x:v>2</x:v>
      </x:c>
      <x:c r="E154" s="9" t="str">
        <x:v>貨物電梯(1F-2F,2停)</x:v>
      </x:c>
      <x:c r="F154" s="9" t="str">
        <x:v>部</x:v>
      </x:c>
      <x:c r="G154" s="15" t="n">
        <x:v>1</x:v>
      </x:c>
      <x:c r="H154" s="15" t="n">
        <x:v>2448900</x:v>
      </x:c>
      <x:c r="I154" s="16" t="n">
        <x:v>2448900</x:v>
      </x:c>
      <x:c r="J154" s="13" t="n">
        <x:f>IF(OR(G154="",H154=""),"",ROUND(G154*H154,0))</x:f>
        <x:v>2448900</x:v>
      </x:c>
      <x:c r="K154" s="13" t="n">
        <x:f>IF(OR(I154="",J154=""),"",I154-J154)</x:f>
        <x:v>0</x:v>
      </x:c>
      <x:c r="L154" s="9" t="str">
        <x:v>30 ｍ/min(立穩、國 峰…等同等品牌)</x:v>
      </x:c>
      <x:c r="M154" s="9" t="n">
        <x:v>7</x:v>
      </x:c>
      <x:c r="N154" s="9" t="str">
        <x:v>工程明細</x:v>
      </x:c>
      <x:c r="O154" s="9" t="str">
        <x:v>設備、雜項及室外</x:v>
      </x:c>
      <x:c r="P154" s="9" t="str"/>
    </x:row>
    <x:row r="155" ht="15" customHeight="1">
      <x:c r="A155" s="10" t="str">
        <x:v>lidong-150</x:v>
      </x:c>
      <x:c r="B155" s="10" t="str">
        <x:v>雜項工程</x:v>
      </x:c>
      <x:c r="C155" s="10" t="str"/>
      <x:c r="D155" s="10" t="str">
        <x:v>3</x:v>
      </x:c>
      <x:c r="E155" s="10" t="str">
        <x:v>電梯開口安全圍柵及防墜網</x:v>
      </x:c>
      <x:c r="F155" s="10" t="str">
        <x:v>處</x:v>
      </x:c>
      <x:c r="G155" s="17" t="n">
        <x:v>5</x:v>
      </x:c>
      <x:c r="H155" s="17" t="n">
        <x:v>6900</x:v>
      </x:c>
      <x:c r="I155" s="18" t="n">
        <x:v>34500</x:v>
      </x:c>
      <x:c r="J155" s="14" t="n">
        <x:f>IF(OR(G155="",H155=""),"",ROUND(G155*H155,0))</x:f>
        <x:v>34500</x:v>
      </x:c>
      <x:c r="K155" s="14" t="n">
        <x:f>IF(OR(I155="",J155=""),"",I155-J155)</x:f>
        <x:v>0</x:v>
      </x:c>
      <x:c r="L155" s="10" t="str"/>
      <x:c r="M155" s="10" t="n">
        <x:v>7</x:v>
      </x:c>
      <x:c r="N155" s="10" t="str">
        <x:v>工程明細</x:v>
      </x:c>
      <x:c r="O155" s="10" t="str">
        <x:v>設備、雜項及室外</x:v>
      </x:c>
      <x:c r="P155" s="10" t="str"/>
    </x:row>
    <x:row r="156" ht="15" customHeight="1">
      <x:c r="A156" s="9" t="str">
        <x:v>lidong-151</x:v>
      </x:c>
      <x:c r="B156" s="9" t="str">
        <x:v>雜項工程</x:v>
      </x:c>
      <x:c r="C156" s="9" t="str"/>
      <x:c r="D156" s="9" t="str">
        <x:v>4</x:v>
      </x:c>
      <x:c r="E156" s="9" t="str">
        <x:v>電梯開口60B 防火遮煙捲簾</x:v>
      </x:c>
      <x:c r="F156" s="9" t="str">
        <x:v>處</x:v>
      </x:c>
      <x:c r="G156" s="15" t="n">
        <x:v>3</x:v>
      </x:c>
      <x:c r="H156" s="15" t="n">
        <x:v>75900</x:v>
      </x:c>
      <x:c r="I156" s="16" t="n">
        <x:v>227700</x:v>
      </x:c>
      <x:c r="J156" s="13" t="n">
        <x:f>IF(OR(G156="",H156=""),"",ROUND(G156*H156,0))</x:f>
        <x:v>227700</x:v>
      </x:c>
      <x:c r="K156" s="13" t="n">
        <x:f>IF(OR(I156="",J156=""),"",I156-J156)</x:f>
        <x:v>0</x:v>
      </x:c>
      <x:c r="L156" s="9" t="str"/>
      <x:c r="M156" s="9" t="n">
        <x:v>7</x:v>
      </x:c>
      <x:c r="N156" s="9" t="str">
        <x:v>工程明細</x:v>
      </x:c>
      <x:c r="O156" s="9" t="str">
        <x:v>設備、雜項及室外</x:v>
      </x:c>
      <x:c r="P156" s="9" t="str"/>
    </x:row>
    <x:row r="157" ht="15" customHeight="1">
      <x:c r="A157" s="10" t="str">
        <x:v>lidong-152</x:v>
      </x:c>
      <x:c r="B157" s="10" t="str">
        <x:v>雜項工程</x:v>
      </x:c>
      <x:c r="C157" s="10" t="str"/>
      <x:c r="D157" s="10" t="str">
        <x:v>5</x:v>
      </x:c>
      <x:c r="E157" s="10" t="str">
        <x:v>貨梯開口60B 防火遮煙捲簾</x:v>
      </x:c>
      <x:c r="F157" s="10" t="str">
        <x:v>處</x:v>
      </x:c>
      <x:c r="G157" s="17" t="n">
        <x:v>2</x:v>
      </x:c>
      <x:c r="H157" s="17" t="n">
        <x:v>81200</x:v>
      </x:c>
      <x:c r="I157" s="18" t="n">
        <x:v>162400</x:v>
      </x:c>
      <x:c r="J157" s="14" t="n">
        <x:f>IF(OR(G157="",H157=""),"",ROUND(G157*H157,0))</x:f>
        <x:v>162400</x:v>
      </x:c>
      <x:c r="K157" s="14" t="n">
        <x:f>IF(OR(I157="",J157=""),"",I157-J157)</x:f>
        <x:v>0</x:v>
      </x:c>
      <x:c r="L157" s="10" t="str"/>
      <x:c r="M157" s="10" t="n">
        <x:v>8</x:v>
      </x:c>
      <x:c r="N157" s="10" t="str">
        <x:v>工程明細</x:v>
      </x:c>
      <x:c r="O157" s="10" t="str">
        <x:v>設備、雜項及室外</x:v>
      </x:c>
      <x:c r="P157" s="10" t="str"/>
    </x:row>
    <x:row r="158" ht="15" customHeight="1">
      <x:c r="A158" s="9" t="str">
        <x:v>lidong-153</x:v>
      </x:c>
      <x:c r="B158" s="9" t="str">
        <x:v>雜項工程</x:v>
      </x:c>
      <x:c r="C158" s="9" t="str"/>
      <x:c r="D158" s="9" t="str">
        <x:v>6</x:v>
      </x:c>
      <x:c r="E158" s="9" t="str">
        <x:v>廁所搗擺含門H=240cm</x:v>
      </x:c>
      <x:c r="F158" s="9" t="str">
        <x:v>M2</x:v>
      </x:c>
      <x:c r="G158" s="15" t="n">
        <x:v>78</x:v>
      </x:c>
      <x:c r="H158" s="15" t="n">
        <x:v>2400</x:v>
      </x:c>
      <x:c r="I158" s="16" t="n">
        <x:v>187200</x:v>
      </x:c>
      <x:c r="J158" s="13" t="n">
        <x:f>IF(OR(G158="",H158=""),"",ROUND(G158*H158,0))</x:f>
        <x:v>187200</x:v>
      </x:c>
      <x:c r="K158" s="13" t="n">
        <x:f>IF(OR(I158="",J158=""),"",I158-J158)</x:f>
        <x:v>0</x:v>
      </x:c>
      <x:c r="L158" s="9" t="str">
        <x:v>PVC</x:v>
      </x:c>
      <x:c r="M158" s="9" t="n">
        <x:v>8</x:v>
      </x:c>
      <x:c r="N158" s="9" t="str">
        <x:v>工程明細</x:v>
      </x:c>
      <x:c r="O158" s="9" t="str">
        <x:v>設備、雜項及室外</x:v>
      </x:c>
      <x:c r="P158" s="9" t="str"/>
    </x:row>
    <x:row r="159" ht="15" customHeight="1">
      <x:c r="A159" s="10" t="str">
        <x:v>lidong-154</x:v>
      </x:c>
      <x:c r="B159" s="10" t="str">
        <x:v>雜項工程</x:v>
      </x:c>
      <x:c r="C159" s="10" t="str"/>
      <x:c r="D159" s="10" t="str">
        <x:v>7</x:v>
      </x:c>
      <x:c r="E159" s="10" t="str">
        <x:v>小便斗隔屏 50*130cm</x:v>
      </x:c>
      <x:c r="F159" s="10" t="str">
        <x:v>片</x:v>
      </x:c>
      <x:c r="G159" s="17" t="n">
        <x:v>9</x:v>
      </x:c>
      <x:c r="H159" s="17" t="n">
        <x:v>2500</x:v>
      </x:c>
      <x:c r="I159" s="18" t="n">
        <x:v>22500</x:v>
      </x:c>
      <x:c r="J159" s="14" t="n">
        <x:f>IF(OR(G159="",H159=""),"",ROUND(G159*H159,0))</x:f>
        <x:v>22500</x:v>
      </x:c>
      <x:c r="K159" s="14" t="n">
        <x:f>IF(OR(I159="",J159=""),"",I159-J159)</x:f>
        <x:v>0</x:v>
      </x:c>
      <x:c r="L159" s="10" t="str">
        <x:v>PVC</x:v>
      </x:c>
      <x:c r="M159" s="10" t="n">
        <x:v>8</x:v>
      </x:c>
      <x:c r="N159" s="10" t="str">
        <x:v>工程明細</x:v>
      </x:c>
      <x:c r="O159" s="10" t="str">
        <x:v>設備、雜項及室外</x:v>
      </x:c>
      <x:c r="P159" s="10" t="str"/>
    </x:row>
    <x:row r="160" ht="15" customHeight="1">
      <x:c r="A160" s="9" t="str">
        <x:v>lidong-155</x:v>
      </x:c>
      <x:c r="B160" s="9" t="str">
        <x:v>雜項工程</x:v>
      </x:c>
      <x:c r="C160" s="9" t="str"/>
      <x:c r="D160" s="9" t="str">
        <x:v>8</x:v>
      </x:c>
      <x:c r="E160" s="9" t="str">
        <x:v>蹲式馬桶墊高H=20cm</x:v>
      </x:c>
      <x:c r="F160" s="9" t="str">
        <x:v>M3</x:v>
      </x:c>
      <x:c r="G160" s="15" t="n">
        <x:v>1.55</x:v>
      </x:c>
      <x:c r="H160" s="15" t="n">
        <x:v>740</x:v>
      </x:c>
      <x:c r="I160" s="16" t="n">
        <x:v>1147</x:v>
      </x:c>
      <x:c r="J160" s="13" t="n">
        <x:f>IF(OR(G160="",H160=""),"",ROUND(G160*H160,0))</x:f>
        <x:v>1147</x:v>
      </x:c>
      <x:c r="K160" s="13" t="n">
        <x:f>IF(OR(I160="",J160=""),"",I160-J160)</x:f>
        <x:v>0</x:v>
      </x:c>
      <x:c r="L160" s="9" t="str"/>
      <x:c r="M160" s="9" t="n">
        <x:v>8</x:v>
      </x:c>
      <x:c r="N160" s="9" t="str">
        <x:v>工程明細</x:v>
      </x:c>
      <x:c r="O160" s="9" t="str">
        <x:v>設備、雜項及室外</x:v>
      </x:c>
      <x:c r="P160" s="9" t="str"/>
    </x:row>
    <x:row r="161" ht="15" customHeight="1">
      <x:c r="A161" s="10" t="str">
        <x:v>lidong-156</x:v>
      </x:c>
      <x:c r="B161" s="10" t="str">
        <x:v>雜項工程</x:v>
      </x:c>
      <x:c r="C161" s="10" t="str"/>
      <x:c r="D161" s="10" t="str">
        <x:v>9</x:v>
      </x:c>
      <x:c r="E161" s="10" t="str">
        <x:v>電梯機坑鐵爬梯H=165cm</x:v>
      </x:c>
      <x:c r="F161" s="10" t="str">
        <x:v>支</x:v>
      </x:c>
      <x:c r="G161" s="17" t="n">
        <x:v>2</x:v>
      </x:c>
      <x:c r="H161" s="17" t="n">
        <x:v>9350</x:v>
      </x:c>
      <x:c r="I161" s="18" t="n">
        <x:v>18700</x:v>
      </x:c>
      <x:c r="J161" s="14" t="n">
        <x:f>IF(OR(G161="",H161=""),"",ROUND(G161*H161,0))</x:f>
        <x:v>18700</x:v>
      </x:c>
      <x:c r="K161" s="14" t="n">
        <x:f>IF(OR(I161="",J161=""),"",I161-J161)</x:f>
        <x:v>0</x:v>
      </x:c>
      <x:c r="L161" s="10" t="str"/>
      <x:c r="M161" s="10" t="n">
        <x:v>8</x:v>
      </x:c>
      <x:c r="N161" s="10" t="str">
        <x:v>工程明細</x:v>
      </x:c>
      <x:c r="O161" s="10" t="str">
        <x:v>設備、雜項及室外</x:v>
      </x:c>
      <x:c r="P161" s="10" t="str"/>
    </x:row>
    <x:row r="162" ht="15" customHeight="1">
      <x:c r="A162" s="9" t="str">
        <x:v>lidong-157</x:v>
      </x:c>
      <x:c r="B162" s="9" t="str">
        <x:v>雜項工程</x:v>
      </x:c>
      <x:c r="C162" s="9" t="str"/>
      <x:c r="D162" s="9" t="str">
        <x:v>10</x:v>
      </x:c>
      <x:c r="E162" s="9" t="str">
        <x:v>消防水池坑不銹鋼爬梯H=115cm</x:v>
      </x:c>
      <x:c r="F162" s="9" t="str">
        <x:v>支</x:v>
      </x:c>
      <x:c r="G162" s="15" t="n">
        <x:v>1</x:v>
      </x:c>
      <x:c r="H162" s="15" t="n">
        <x:v>6490</x:v>
      </x:c>
      <x:c r="I162" s="16" t="n">
        <x:v>6490</x:v>
      </x:c>
      <x:c r="J162" s="13" t="n">
        <x:f>IF(OR(G162="",H162=""),"",ROUND(G162*H162,0))</x:f>
        <x:v>6490</x:v>
      </x:c>
      <x:c r="K162" s="13" t="n">
        <x:f>IF(OR(I162="",J162=""),"",I162-J162)</x:f>
        <x:v>0</x:v>
      </x:c>
      <x:c r="L162" s="9" t="str"/>
      <x:c r="M162" s="9" t="n">
        <x:v>8</x:v>
      </x:c>
      <x:c r="N162" s="9" t="str">
        <x:v>工程明細</x:v>
      </x:c>
      <x:c r="O162" s="9" t="str">
        <x:v>設備、雜項及室外</x:v>
      </x:c>
      <x:c r="P162" s="9" t="str"/>
    </x:row>
    <x:row r="163" ht="15" customHeight="1">
      <x:c r="A163" s="10" t="str">
        <x:v>lidong-158</x:v>
      </x:c>
      <x:c r="B163" s="10" t="str">
        <x:v>雜項工程</x:v>
      </x:c>
      <x:c r="C163" s="10" t="str"/>
      <x:c r="D163" s="10" t="str">
        <x:v>11</x:v>
      </x:c>
      <x:c r="E163" s="10" t="str">
        <x:v>消防水池人孔蓋70*70cm</x:v>
      </x:c>
      <x:c r="F163" s="10" t="str">
        <x:v>只</x:v>
      </x:c>
      <x:c r="G163" s="17" t="n">
        <x:v>1</x:v>
      </x:c>
      <x:c r="H163" s="17" t="n">
        <x:v>8040</x:v>
      </x:c>
      <x:c r="I163" s="18" t="n">
        <x:v>8040</x:v>
      </x:c>
      <x:c r="J163" s="14" t="n">
        <x:f>IF(OR(G163="",H163=""),"",ROUND(G163*H163,0))</x:f>
        <x:v>8040</x:v>
      </x:c>
      <x:c r="K163" s="14" t="n">
        <x:f>IF(OR(I163="",J163=""),"",I163-J163)</x:f>
        <x:v>0</x:v>
      </x:c>
      <x:c r="L163" s="10" t="str">
        <x:v>灰口型</x:v>
      </x:c>
      <x:c r="M163" s="10" t="n">
        <x:v>8</x:v>
      </x:c>
      <x:c r="N163" s="10" t="str">
        <x:v>工程明細</x:v>
      </x:c>
      <x:c r="O163" s="10" t="str">
        <x:v>設備、雜項及室外</x:v>
      </x:c>
      <x:c r="P163" s="10" t="str"/>
    </x:row>
    <x:row r="164" ht="15" customHeight="1">
      <x:c r="A164" s="9" t="str">
        <x:v>lidong-159</x:v>
      </x:c>
      <x:c r="B164" s="9" t="str">
        <x:v>雜項工程</x:v>
      </x:c>
      <x:c r="C164" s="9" t="str"/>
      <x:c r="D164" s="9" t="str">
        <x:v>12</x:v>
      </x:c>
      <x:c r="E164" s="9" t="str">
        <x:v>1F夾層室內玻璃欄杆H=175cm</x:v>
      </x:c>
      <x:c r="F164" s="9" t="str">
        <x:v>M</x:v>
      </x:c>
      <x:c r="G164" s="15" t="n">
        <x:v>16</x:v>
      </x:c>
      <x:c r="H164" s="15" t="n">
        <x:v>12000</x:v>
      </x:c>
      <x:c r="I164" s="16" t="n">
        <x:v>192000</x:v>
      </x:c>
      <x:c r="J164" s="13" t="n">
        <x:f>IF(OR(G164="",H164=""),"",ROUND(G164*H164,0))</x:f>
        <x:v>192000</x:v>
      </x:c>
      <x:c r="K164" s="13" t="n">
        <x:f>IF(OR(I164="",J164=""),"",I164-J164)</x:f>
        <x:v>0</x:v>
      </x:c>
      <x:c r="L164" s="9" t="str"/>
      <x:c r="M164" s="9" t="n">
        <x:v>8</x:v>
      </x:c>
      <x:c r="N164" s="9" t="str">
        <x:v>工程明細</x:v>
      </x:c>
      <x:c r="O164" s="9" t="str">
        <x:v>設備、雜項及室外</x:v>
      </x:c>
      <x:c r="P164" s="9" t="str"/>
    </x:row>
    <x:row r="165" ht="15" customHeight="1">
      <x:c r="A165" s="10" t="str">
        <x:v>lidong-160</x:v>
      </x:c>
      <x:c r="B165" s="10" t="str">
        <x:v>雜項工程</x:v>
      </x:c>
      <x:c r="C165" s="10" t="str"/>
      <x:c r="D165" s="10" t="str">
        <x:v>13</x:v>
      </x:c>
      <x:c r="E165" s="10" t="str">
        <x:v>陽台金屬欄杆H=100cm</x:v>
      </x:c>
      <x:c r="F165" s="10" t="str">
        <x:v>M</x:v>
      </x:c>
      <x:c r="G165" s="17" t="n">
        <x:v>10</x:v>
      </x:c>
      <x:c r="H165" s="17" t="n">
        <x:v>8970</x:v>
      </x:c>
      <x:c r="I165" s="18" t="n">
        <x:v>89700</x:v>
      </x:c>
      <x:c r="J165" s="14" t="n">
        <x:f>IF(OR(G165="",H165=""),"",ROUND(G165*H165,0))</x:f>
        <x:v>89700</x:v>
      </x:c>
      <x:c r="K165" s="14" t="n">
        <x:f>IF(OR(I165="",J165=""),"",I165-J165)</x:f>
        <x:v>0</x:v>
      </x:c>
      <x:c r="L165" s="10" t="str"/>
      <x:c r="M165" s="10" t="n">
        <x:v>8</x:v>
      </x:c>
      <x:c r="N165" s="10" t="str">
        <x:v>工程明細</x:v>
      </x:c>
      <x:c r="O165" s="10" t="str">
        <x:v>設備、雜項及室外</x:v>
      </x:c>
      <x:c r="P165" s="10" t="str"/>
    </x:row>
    <x:row r="166" ht="15" customHeight="1">
      <x:c r="A166" s="9" t="str">
        <x:v>lidong-161</x:v>
      </x:c>
      <x:c r="B166" s="9" t="str">
        <x:v>雜項工程</x:v>
      </x:c>
      <x:c r="C166" s="9" t="str"/>
      <x:c r="D166" s="9" t="str">
        <x:v>14</x:v>
      </x:c>
      <x:c r="E166" s="9" t="str">
        <x:v>陽台金屬欄杆H=110cm</x:v>
      </x:c>
      <x:c r="F166" s="9" t="str">
        <x:v>M</x:v>
      </x:c>
      <x:c r="G166" s="15" t="n">
        <x:v>3.3</x:v>
      </x:c>
      <x:c r="H166" s="15" t="n">
        <x:v>8970</x:v>
      </x:c>
      <x:c r="I166" s="16" t="n">
        <x:v>29601</x:v>
      </x:c>
      <x:c r="J166" s="13" t="n">
        <x:f>IF(OR(G166="",H166=""),"",ROUND(G166*H166,0))</x:f>
        <x:v>29601</x:v>
      </x:c>
      <x:c r="K166" s="13" t="n">
        <x:f>IF(OR(I166="",J166=""),"",I166-J166)</x:f>
        <x:v>0</x:v>
      </x:c>
      <x:c r="L166" s="9" t="str"/>
      <x:c r="M166" s="9" t="n">
        <x:v>8</x:v>
      </x:c>
      <x:c r="N166" s="9" t="str">
        <x:v>工程明細</x:v>
      </x:c>
      <x:c r="O166" s="9" t="str">
        <x:v>設備、雜項及室外</x:v>
      </x:c>
      <x:c r="P166" s="9" t="str"/>
    </x:row>
    <x:row r="167" ht="15" customHeight="1">
      <x:c r="A167" s="10" t="str">
        <x:v>lidong-162</x:v>
      </x:c>
      <x:c r="B167" s="10" t="str">
        <x:v>雜項工程</x:v>
      </x:c>
      <x:c r="C167" s="10" t="str"/>
      <x:c r="D167" s="10" t="str">
        <x:v>15</x:v>
      </x:c>
      <x:c r="E167" s="10" t="str">
        <x:v>陽台金屬欄杆滑門L315*H110cm</x:v>
      </x:c>
      <x:c r="F167" s="10" t="str">
        <x:v>樘</x:v>
      </x:c>
      <x:c r="G167" s="17" t="n">
        <x:v>1</x:v>
      </x:c>
      <x:c r="H167" s="17" t="n">
        <x:v>33000</x:v>
      </x:c>
      <x:c r="I167" s="18" t="n">
        <x:v>33000</x:v>
      </x:c>
      <x:c r="J167" s="14" t="n">
        <x:f>IF(OR(G167="",H167=""),"",ROUND(G167*H167,0))</x:f>
        <x:v>33000</x:v>
      </x:c>
      <x:c r="K167" s="14" t="n">
        <x:f>IF(OR(I167="",J167=""),"",I167-J167)</x:f>
        <x:v>0</x:v>
      </x:c>
      <x:c r="L167" s="10" t="str"/>
      <x:c r="M167" s="10" t="n">
        <x:v>8</x:v>
      </x:c>
      <x:c r="N167" s="10" t="str">
        <x:v>工程明細</x:v>
      </x:c>
      <x:c r="O167" s="10" t="str">
        <x:v>設備、雜項及室外</x:v>
      </x:c>
      <x:c r="P167" s="10" t="str"/>
    </x:row>
    <x:row r="168" ht="15" customHeight="1">
      <x:c r="A168" s="9" t="str">
        <x:v>lidong-163</x:v>
      </x:c>
      <x:c r="B168" s="9" t="str">
        <x:v>雜項工程</x:v>
      </x:c>
      <x:c r="C168" s="9" t="str"/>
      <x:c r="D168" s="9" t="str">
        <x:v>16</x:v>
      </x:c>
      <x:c r="E168" s="9" t="str">
        <x:v>無障礙坡道玻璃欄杆H=100cm</x:v>
      </x:c>
      <x:c r="F168" s="9" t="str">
        <x:v>M</x:v>
      </x:c>
      <x:c r="G168" s="15" t="n">
        <x:v>13</x:v>
      </x:c>
      <x:c r="H168" s="15" t="n">
        <x:v>10400</x:v>
      </x:c>
      <x:c r="I168" s="16" t="n">
        <x:v>135200</x:v>
      </x:c>
      <x:c r="J168" s="13" t="n">
        <x:f>IF(OR(G168="",H168=""),"",ROUND(G168*H168,0))</x:f>
        <x:v>135200</x:v>
      </x:c>
      <x:c r="K168" s="13" t="n">
        <x:f>IF(OR(I168="",J168=""),"",I168-J168)</x:f>
        <x:v>0</x:v>
      </x:c>
      <x:c r="L168" s="9" t="str"/>
      <x:c r="M168" s="9" t="n">
        <x:v>8</x:v>
      </x:c>
      <x:c r="N168" s="9" t="str">
        <x:v>工程明細</x:v>
      </x:c>
      <x:c r="O168" s="9" t="str">
        <x:v>設備、雜項及室外</x:v>
      </x:c>
      <x:c r="P168" s="9" t="str"/>
    </x:row>
    <x:row r="169" ht="15" customHeight="1">
      <x:c r="A169" s="10" t="str">
        <x:v>lidong-164</x:v>
      </x:c>
      <x:c r="B169" s="10" t="str">
        <x:v>雜項工程</x:v>
      </x:c>
      <x:c r="C169" s="10" t="str"/>
      <x:c r="D169" s="10" t="str">
        <x:v>17</x:v>
      </x:c>
      <x:c r="E169" s="10" t="str">
        <x:v>無障礙廁所安全扶手</x:v>
      </x:c>
      <x:c r="F169" s="10" t="str">
        <x:v>間</x:v>
      </x:c>
      <x:c r="G169" s="17" t="n">
        <x:v>1</x:v>
      </x:c>
      <x:c r="H169" s="17" t="n">
        <x:v>1550</x:v>
      </x:c>
      <x:c r="I169" s="18" t="n">
        <x:v>1550</x:v>
      </x:c>
      <x:c r="J169" s="14" t="n">
        <x:f>IF(OR(G169="",H169=""),"",ROUND(G169*H169,0))</x:f>
        <x:v>1550</x:v>
      </x:c>
      <x:c r="K169" s="14" t="n">
        <x:f>IF(OR(I169="",J169=""),"",I169-J169)</x:f>
        <x:v>0</x:v>
      </x:c>
      <x:c r="L169" s="10" t="str"/>
      <x:c r="M169" s="10" t="n">
        <x:v>8</x:v>
      </x:c>
      <x:c r="N169" s="10" t="str">
        <x:v>工程明細</x:v>
      </x:c>
      <x:c r="O169" s="10" t="str">
        <x:v>設備、雜項及室外</x:v>
      </x:c>
      <x:c r="P169" s="10" t="str"/>
    </x:row>
    <x:row r="170" ht="15" customHeight="1">
      <x:c r="A170" s="9" t="str">
        <x:v>lidong-165</x:v>
      </x:c>
      <x:c r="B170" s="9" t="str">
        <x:v>雜項工程</x:v>
      </x:c>
      <x:c r="C170" s="9" t="str"/>
      <x:c r="D170" s="9" t="str">
        <x:v>18</x:v>
      </x:c>
      <x:c r="E170" s="9" t="str">
        <x:v>金屬公司案名字體及LOGO</x:v>
      </x:c>
      <x:c r="F170" s="9" t="str">
        <x:v>式</x:v>
      </x:c>
      <x:c r="G170" s="15" t="n">
        <x:v>1</x:v>
      </x:c>
      <x:c r="H170" s="15"/>
      <x:c r="I170" s="16"/>
      <x:c r="J170" s="13" t="str">
        <x:f>IF(OR(G170="",H170=""),"",ROUND(G170*H170,0))</x:f>
      </x:c>
      <x:c r="K170" s="13" t="str">
        <x:f>IF(OR(I170="",J170=""),"",I170-J170)</x:f>
      </x:c>
      <x:c r="L170" s="9" t="str">
        <x:v>中文2,英文8,LOGO*2 (無詳圖，暫不估價)</x:v>
      </x:c>
      <x:c r="M170" s="9" t="n">
        <x:v>8</x:v>
      </x:c>
      <x:c r="N170" s="9" t="str">
        <x:v>工程明細</x:v>
      </x:c>
      <x:c r="O170" s="9" t="str">
        <x:v>設備、雜項及室外</x:v>
      </x:c>
      <x:c r="P170" s="9" t="str">
        <x:v>原單未列金額；不視為零元或已含。</x:v>
      </x:c>
    </x:row>
    <x:row r="171" ht="15" customHeight="1">
      <x:c r="A171" s="10" t="str">
        <x:v>lidong-166</x:v>
      </x:c>
      <x:c r="B171" s="10" t="str">
        <x:v>雜項工程</x:v>
      </x:c>
      <x:c r="C171" s="10" t="str"/>
      <x:c r="D171" s="10" t="str">
        <x:v>19</x:v>
      </x:c>
      <x:c r="E171" s="10" t="str">
        <x:v>汽車停車位劃線250*550cm</x:v>
      </x:c>
      <x:c r="F171" s="10" t="str">
        <x:v>位</x:v>
      </x:c>
      <x:c r="G171" s="17" t="n">
        <x:v>5</x:v>
      </x:c>
      <x:c r="H171" s="17" t="n">
        <x:v>1400</x:v>
      </x:c>
      <x:c r="I171" s="18" t="n">
        <x:v>7000</x:v>
      </x:c>
      <x:c r="J171" s="14" t="n">
        <x:f>IF(OR(G171="",H171=""),"",ROUND(G171*H171,0))</x:f>
        <x:v>7000</x:v>
      </x:c>
      <x:c r="K171" s="14" t="n">
        <x:f>IF(OR(I171="",J171=""),"",I171-J171)</x:f>
        <x:v>0</x:v>
      </x:c>
      <x:c r="L171" s="10" t="str"/>
      <x:c r="M171" s="10" t="n">
        <x:v>8</x:v>
      </x:c>
      <x:c r="N171" s="10" t="str">
        <x:v>工程明細</x:v>
      </x:c>
      <x:c r="O171" s="10" t="str">
        <x:v>設備、雜項及室外</x:v>
      </x:c>
      <x:c r="P171" s="10" t="str"/>
    </x:row>
    <x:row r="172" ht="15" customHeight="1">
      <x:c r="A172" s="9" t="str">
        <x:v>lidong-167</x:v>
      </x:c>
      <x:c r="B172" s="9" t="str">
        <x:v>雜項工程</x:v>
      </x:c>
      <x:c r="C172" s="9" t="str"/>
      <x:c r="D172" s="9" t="str">
        <x:v>20</x:v>
      </x:c>
      <x:c r="E172" s="9" t="str">
        <x:v>汽車停車位劃線250*600cm</x:v>
      </x:c>
      <x:c r="F172" s="9" t="str">
        <x:v>位</x:v>
      </x:c>
      <x:c r="G172" s="15" t="n">
        <x:v>3</x:v>
      </x:c>
      <x:c r="H172" s="15" t="n">
        <x:v>1520</x:v>
      </x:c>
      <x:c r="I172" s="16" t="n">
        <x:v>4560</x:v>
      </x:c>
      <x:c r="J172" s="13" t="n">
        <x:f>IF(OR(G172="",H172=""),"",ROUND(G172*H172,0))</x:f>
        <x:v>4560</x:v>
      </x:c>
      <x:c r="K172" s="13" t="n">
        <x:f>IF(OR(I172="",J172=""),"",I172-J172)</x:f>
        <x:v>0</x:v>
      </x:c>
      <x:c r="L172" s="9" t="str"/>
      <x:c r="M172" s="9" t="n">
        <x:v>8</x:v>
      </x:c>
      <x:c r="N172" s="9" t="str">
        <x:v>工程明細</x:v>
      </x:c>
      <x:c r="O172" s="9" t="str">
        <x:v>設備、雜項及室外</x:v>
      </x:c>
      <x:c r="P172" s="9" t="str"/>
    </x:row>
    <x:row r="173" ht="15" customHeight="1">
      <x:c r="A173" s="10" t="str">
        <x:v>lidong-168</x:v>
      </x:c>
      <x:c r="B173" s="10" t="str">
        <x:v>雜項工程</x:v>
      </x:c>
      <x:c r="C173" s="10" t="str"/>
      <x:c r="D173" s="10" t="str">
        <x:v>21</x:v>
      </x:c>
      <x:c r="E173" s="10" t="str">
        <x:v>無障礙停車位劃線350*600cm</x:v>
      </x:c>
      <x:c r="F173" s="10" t="str">
        <x:v>位</x:v>
      </x:c>
      <x:c r="G173" s="17" t="n">
        <x:v>1</x:v>
      </x:c>
      <x:c r="H173" s="17" t="n">
        <x:v>3100</x:v>
      </x:c>
      <x:c r="I173" s="18" t="n">
        <x:v>3100</x:v>
      </x:c>
      <x:c r="J173" s="14" t="n">
        <x:f>IF(OR(G173="",H173=""),"",ROUND(G173*H173,0))</x:f>
        <x:v>3100</x:v>
      </x:c>
      <x:c r="K173" s="14" t="n">
        <x:f>IF(OR(I173="",J173=""),"",I173-J173)</x:f>
        <x:v>0</x:v>
      </x:c>
      <x:c r="L173" s="10" t="str"/>
      <x:c r="M173" s="10" t="n">
        <x:v>8</x:v>
      </x:c>
      <x:c r="N173" s="10" t="str">
        <x:v>工程明細</x:v>
      </x:c>
      <x:c r="O173" s="10" t="str">
        <x:v>設備、雜項及室外</x:v>
      </x:c>
      <x:c r="P173" s="10" t="str"/>
    </x:row>
    <x:row r="174" ht="15" customHeight="1">
      <x:c r="A174" s="9" t="str">
        <x:v>lidong-169</x:v>
      </x:c>
      <x:c r="B174" s="9" t="str">
        <x:v>雜項工程</x:v>
      </x:c>
      <x:c r="C174" s="9" t="str"/>
      <x:c r="D174" s="9" t="str">
        <x:v>22</x:v>
      </x:c>
      <x:c r="E174" s="9" t="str">
        <x:v>卸貨車停車位劃線400*1240cm</x:v>
      </x:c>
      <x:c r="F174" s="9" t="str">
        <x:v>位</x:v>
      </x:c>
      <x:c r="G174" s="15" t="n">
        <x:v>1</x:v>
      </x:c>
      <x:c r="H174" s="15" t="n">
        <x:v>7300</x:v>
      </x:c>
      <x:c r="I174" s="16" t="n">
        <x:v>7300</x:v>
      </x:c>
      <x:c r="J174" s="13" t="n">
        <x:f>IF(OR(G174="",H174=""),"",ROUND(G174*H174,0))</x:f>
        <x:v>7300</x:v>
      </x:c>
      <x:c r="K174" s="13" t="n">
        <x:f>IF(OR(I174="",J174=""),"",I174-J174)</x:f>
        <x:v>0</x:v>
      </x:c>
      <x:c r="L174" s="9" t="str"/>
      <x:c r="M174" s="9" t="n">
        <x:v>8</x:v>
      </x:c>
      <x:c r="N174" s="9" t="str">
        <x:v>工程明細</x:v>
      </x:c>
      <x:c r="O174" s="9" t="str">
        <x:v>設備、雜項及室外</x:v>
      </x:c>
      <x:c r="P174" s="9" t="str"/>
    </x:row>
    <x:row r="175" ht="15" customHeight="1">
      <x:c r="A175" s="10" t="str">
        <x:v>lidong-170</x:v>
      </x:c>
      <x:c r="B175" s="10" t="str">
        <x:v>雜項工程</x:v>
      </x:c>
      <x:c r="C175" s="10" t="str"/>
      <x:c r="D175" s="10" t="str">
        <x:v>23</x:v>
      </x:c>
      <x:c r="E175" s="10" t="str">
        <x:v>樓梯櫸木扶手欄杆H=80cm</x:v>
      </x:c>
      <x:c r="F175" s="10" t="str">
        <x:v>M</x:v>
      </x:c>
      <x:c r="G175" s="17" t="n">
        <x:v>118</x:v>
      </x:c>
      <x:c r="H175" s="17" t="n">
        <x:v>1500</x:v>
      </x:c>
      <x:c r="I175" s="18" t="n">
        <x:v>177000</x:v>
      </x:c>
      <x:c r="J175" s="14" t="n">
        <x:f>IF(OR(G175="",H175=""),"",ROUND(G175*H175,0))</x:f>
        <x:v>177000</x:v>
      </x:c>
      <x:c r="K175" s="14" t="n">
        <x:f>IF(OR(I175="",J175=""),"",I175-J175)</x:f>
        <x:v>0</x:v>
      </x:c>
      <x:c r="L175" s="10" t="str"/>
      <x:c r="M175" s="10" t="n">
        <x:v>8</x:v>
      </x:c>
      <x:c r="N175" s="10" t="str">
        <x:v>工程明細</x:v>
      </x:c>
      <x:c r="O175" s="10" t="str">
        <x:v>設備、雜項及室外</x:v>
      </x:c>
      <x:c r="P175" s="10" t="str"/>
    </x:row>
    <x:row r="176" ht="15" customHeight="1">
      <x:c r="A176" s="9" t="str">
        <x:v>lidong-171</x:v>
      </x:c>
      <x:c r="B176" s="9" t="str">
        <x:v>雜項工程</x:v>
      </x:c>
      <x:c r="C176" s="9" t="str"/>
      <x:c r="D176" s="9" t="str">
        <x:v>24</x:v>
      </x:c>
      <x:c r="E176" s="9" t="str">
        <x:v>陽台門檻</x:v>
      </x:c>
      <x:c r="F176" s="9" t="str">
        <x:v>M</x:v>
      </x:c>
      <x:c r="G176" s="15" t="n">
        <x:v>1.9</x:v>
      </x:c>
      <x:c r="H176" s="15" t="n">
        <x:v>2200</x:v>
      </x:c>
      <x:c r="I176" s="16" t="n">
        <x:v>4180</x:v>
      </x:c>
      <x:c r="J176" s="13" t="n">
        <x:f>IF(OR(G176="",H176=""),"",ROUND(G176*H176,0))</x:f>
        <x:v>4180</x:v>
      </x:c>
      <x:c r="K176" s="13" t="n">
        <x:f>IF(OR(I176="",J176=""),"",I176-J176)</x:f>
        <x:v>0</x:v>
      </x:c>
      <x:c r="L176" s="9" t="str">
        <x:v>不鏽鋼</x:v>
      </x:c>
      <x:c r="M176" s="9" t="n">
        <x:v>8</x:v>
      </x:c>
      <x:c r="N176" s="9" t="str">
        <x:v>工程明細</x:v>
      </x:c>
      <x:c r="O176" s="9" t="str">
        <x:v>設備、雜項及室外</x:v>
      </x:c>
      <x:c r="P176" s="9" t="str"/>
    </x:row>
    <x:row r="177" ht="15" customHeight="1">
      <x:c r="A177" s="10" t="str">
        <x:v>lidong-172</x:v>
      </x:c>
      <x:c r="B177" s="10" t="str">
        <x:v>雜項工程</x:v>
      </x:c>
      <x:c r="C177" s="10" t="str"/>
      <x:c r="D177" s="10" t="str">
        <x:v>25</x:v>
      </x:c>
      <x:c r="E177" s="10" t="str">
        <x:v>出入口門檻</x:v>
      </x:c>
      <x:c r="F177" s="10" t="str">
        <x:v>M</x:v>
      </x:c>
      <x:c r="G177" s="17" t="n">
        <x:v>7.2</x:v>
      </x:c>
      <x:c r="H177" s="17" t="n">
        <x:v>2200</x:v>
      </x:c>
      <x:c r="I177" s="18" t="n">
        <x:v>15840</x:v>
      </x:c>
      <x:c r="J177" s="14" t="n">
        <x:f>IF(OR(G177="",H177=""),"",ROUND(G177*H177,0))</x:f>
        <x:v>15840</x:v>
      </x:c>
      <x:c r="K177" s="14" t="n">
        <x:f>IF(OR(I177="",J177=""),"",I177-J177)</x:f>
        <x:v>0</x:v>
      </x:c>
      <x:c r="L177" s="10" t="str">
        <x:v>不鏽鋼</x:v>
      </x:c>
      <x:c r="M177" s="10" t="n">
        <x:v>8</x:v>
      </x:c>
      <x:c r="N177" s="10" t="str">
        <x:v>工程明細</x:v>
      </x:c>
      <x:c r="O177" s="10" t="str">
        <x:v>設備、雜項及室外</x:v>
      </x:c>
      <x:c r="P177" s="10" t="str"/>
    </x:row>
    <x:row r="178" ht="15" customHeight="1">
      <x:c r="A178" s="9" t="str">
        <x:v>lidong-173</x:v>
      </x:c>
      <x:c r="B178" s="9" t="str">
        <x:v>雜項工程</x:v>
      </x:c>
      <x:c r="C178" s="9" t="str"/>
      <x:c r="D178" s="9" t="str">
        <x:v>26</x:v>
      </x:c>
      <x:c r="E178" s="9" t="str">
        <x:v>廁所門檻</x:v>
      </x:c>
      <x:c r="F178" s="9" t="str">
        <x:v>M</x:v>
      </x:c>
      <x:c r="G178" s="15" t="n">
        <x:v>6.8</x:v>
      </x:c>
      <x:c r="H178" s="15" t="n">
        <x:v>530</x:v>
      </x:c>
      <x:c r="I178" s="16" t="n">
        <x:v>3604</x:v>
      </x:c>
      <x:c r="J178" s="13" t="n">
        <x:f>IF(OR(G178="",H178=""),"",ROUND(G178*H178,0))</x:f>
        <x:v>3604</x:v>
      </x:c>
      <x:c r="K178" s="13" t="n">
        <x:f>IF(OR(I178="",J178=""),"",I178-J178)</x:f>
        <x:v>0</x:v>
      </x:c>
      <x:c r="L178" s="9" t="str"/>
      <x:c r="M178" s="9" t="n">
        <x:v>8</x:v>
      </x:c>
      <x:c r="N178" s="9" t="str">
        <x:v>工程明細</x:v>
      </x:c>
      <x:c r="O178" s="9" t="str">
        <x:v>設備、雜項及室外</x:v>
      </x:c>
      <x:c r="P178" s="9" t="str"/>
    </x:row>
    <x:row r="179" ht="15" customHeight="1">
      <x:c r="A179" s="10" t="str">
        <x:v>lidong-174</x:v>
      </x:c>
      <x:c r="B179" s="10" t="str">
        <x:v>雜項工程</x:v>
      </x:c>
      <x:c r="C179" s="10" t="str"/>
      <x:c r="D179" s="10" t="str">
        <x:v>27</x:v>
      </x:c>
      <x:c r="E179" s="10" t="str">
        <x:v>無障礙廁所平式門檻L=100cm</x:v>
      </x:c>
      <x:c r="F179" s="10" t="str">
        <x:v>支</x:v>
      </x:c>
      <x:c r="G179" s="17" t="n">
        <x:v>1</x:v>
      </x:c>
      <x:c r="H179" s="17" t="n">
        <x:v>2200</x:v>
      </x:c>
      <x:c r="I179" s="18" t="n">
        <x:v>2200</x:v>
      </x:c>
      <x:c r="J179" s="14" t="n">
        <x:f>IF(OR(G179="",H179=""),"",ROUND(G179*H179,0))</x:f>
        <x:v>2200</x:v>
      </x:c>
      <x:c r="K179" s="14" t="n">
        <x:f>IF(OR(I179="",J179=""),"",I179-J179)</x:f>
        <x:v>0</x:v>
      </x:c>
      <x:c r="L179" s="10" t="str">
        <x:v>D13(不鏽鋼)</x:v>
      </x:c>
      <x:c r="M179" s="10" t="n">
        <x:v>8</x:v>
      </x:c>
      <x:c r="N179" s="10" t="str">
        <x:v>工程明細</x:v>
      </x:c>
      <x:c r="O179" s="10" t="str">
        <x:v>設備、雜項及室外</x:v>
      </x:c>
      <x:c r="P179" s="10" t="str"/>
    </x:row>
    <x:row r="180" ht="15" customHeight="1">
      <x:c r="A180" s="9" t="str">
        <x:v>lidong-175</x:v>
      </x:c>
      <x:c r="B180" s="9" t="str">
        <x:v>雜項工程</x:v>
      </x:c>
      <x:c r="C180" s="9" t="str"/>
      <x:c r="D180" s="9" t="str">
        <x:v>28</x:v>
      </x:c>
      <x:c r="E180" s="9" t="str">
        <x:v>雨遮不銹鋼導水溝W=10cm</x:v>
      </x:c>
      <x:c r="F180" s="9" t="str">
        <x:v>M</x:v>
      </x:c>
      <x:c r="G180" s="15" t="n">
        <x:v>54</x:v>
      </x:c>
      <x:c r="H180" s="15" t="n">
        <x:v>4200</x:v>
      </x:c>
      <x:c r="I180" s="16" t="n">
        <x:v>226800</x:v>
      </x:c>
      <x:c r="J180" s="13" t="n">
        <x:f>IF(OR(G180="",H180=""),"",ROUND(G180*H180,0))</x:f>
        <x:v>226800</x:v>
      </x:c>
      <x:c r="K180" s="13" t="n">
        <x:f>IF(OR(I180="",J180=""),"",I180-J180)</x:f>
        <x:v>0</x:v>
      </x:c>
      <x:c r="L180" s="9" t="str"/>
      <x:c r="M180" s="9" t="n">
        <x:v>8</x:v>
      </x:c>
      <x:c r="N180" s="9" t="str">
        <x:v>工程明細</x:v>
      </x:c>
      <x:c r="O180" s="9" t="str">
        <x:v>設備、雜項及室外</x:v>
      </x:c>
      <x:c r="P180" s="9" t="str"/>
    </x:row>
    <x:row r="181" ht="15" customHeight="1">
      <x:c r="A181" s="10" t="str">
        <x:v>lidong-176</x:v>
      </x:c>
      <x:c r="B181" s="10" t="str">
        <x:v>雜項工程</x:v>
      </x:c>
      <x:c r="C181" s="10" t="str"/>
      <x:c r="D181" s="10" t="str">
        <x:v>29</x:v>
      </x:c>
      <x:c r="E181" s="10" t="str">
        <x:v>陰井加蓋60*60cm</x:v>
      </x:c>
      <x:c r="F181" s="10" t="str">
        <x:v>座</x:v>
      </x:c>
      <x:c r="G181" s="17" t="n">
        <x:v>8</x:v>
      </x:c>
      <x:c r="H181" s="17" t="n">
        <x:v>26900</x:v>
      </x:c>
      <x:c r="I181" s="18" t="n">
        <x:v>215200</x:v>
      </x:c>
      <x:c r="J181" s="14" t="n">
        <x:f>IF(OR(G181="",H181=""),"",ROUND(G181*H181,0))</x:f>
        <x:v>215200</x:v>
      </x:c>
      <x:c r="K181" s="14" t="n">
        <x:f>IF(OR(I181="",J181=""),"",I181-J181)</x:f>
        <x:v>0</x:v>
      </x:c>
      <x:c r="L181" s="10" t="str">
        <x:v>含污水下水道文書</x:v>
      </x:c>
      <x:c r="M181" s="10" t="n">
        <x:v>8</x:v>
      </x:c>
      <x:c r="N181" s="10" t="str">
        <x:v>工程明細</x:v>
      </x:c>
      <x:c r="O181" s="10" t="str">
        <x:v>設備、雜項及室外</x:v>
      </x:c>
      <x:c r="P181" s="10" t="str"/>
    </x:row>
    <x:row r="182" ht="15" customHeight="1">
      <x:c r="A182" s="9" t="str">
        <x:v>lidong-177</x:v>
      </x:c>
      <x:c r="B182" s="9" t="str">
        <x:v>雜項工程</x:v>
      </x:c>
      <x:c r="C182" s="9" t="str"/>
      <x:c r="D182" s="9" t="str">
        <x:v>30</x:v>
      </x:c>
      <x:c r="E182" s="9" t="str">
        <x:v>預鑄式污水處理設施 (10人份)</x:v>
      </x:c>
      <x:c r="F182" s="9" t="str">
        <x:v>座</x:v>
      </x:c>
      <x:c r="G182" s="15" t="n">
        <x:v>2</x:v>
      </x:c>
      <x:c r="H182" s="15" t="n">
        <x:v>64900</x:v>
      </x:c>
      <x:c r="I182" s="16" t="n">
        <x:v>129800</x:v>
      </x:c>
      <x:c r="J182" s="13" t="n">
        <x:f>IF(OR(G182="",H182=""),"",ROUND(G182*H182,0))</x:f>
        <x:v>129800</x:v>
      </x:c>
      <x:c r="K182" s="13" t="n">
        <x:f>IF(OR(I182="",J182=""),"",I182-J182)</x:f>
        <x:v>0</x:v>
      </x:c>
      <x:c r="L182" s="9" t="str">
        <x:v>含槽體防護</x:v>
      </x:c>
      <x:c r="M182" s="9" t="n">
        <x:v>8</x:v>
      </x:c>
      <x:c r="N182" s="9" t="str">
        <x:v>工程明細</x:v>
      </x:c>
      <x:c r="O182" s="9" t="str">
        <x:v>設備、雜項及室外</x:v>
      </x:c>
      <x:c r="P182" s="9" t="str"/>
    </x:row>
    <x:row r="183" ht="15" customHeight="1">
      <x:c r="A183" s="10" t="str">
        <x:v>lidong-178</x:v>
      </x:c>
      <x:c r="B183" s="10" t="str">
        <x:v>雜項工程</x:v>
      </x:c>
      <x:c r="C183" s="10" t="str"/>
      <x:c r="D183" s="10" t="str">
        <x:v>31</x:v>
      </x:c>
      <x:c r="E183" s="10" t="str">
        <x:v>無障礙電梯警示帶30*60cm</x:v>
      </x:c>
      <x:c r="F183" s="10" t="str">
        <x:v>處</x:v>
      </x:c>
      <x:c r="G183" s="17" t="n">
        <x:v>3</x:v>
      </x:c>
      <x:c r="H183" s="17" t="n">
        <x:v>270</x:v>
      </x:c>
      <x:c r="I183" s="18" t="n">
        <x:v>810</x:v>
      </x:c>
      <x:c r="J183" s="14" t="n">
        <x:f>IF(OR(G183="",H183=""),"",ROUND(G183*H183,0))</x:f>
        <x:v>810</x:v>
      </x:c>
      <x:c r="K183" s="14" t="n">
        <x:f>IF(OR(I183="",J183=""),"",I183-J183)</x:f>
        <x:v>0</x:v>
      </x:c>
      <x:c r="L183" s="10" t="str"/>
      <x:c r="M183" s="10" t="n">
        <x:v>8</x:v>
      </x:c>
      <x:c r="N183" s="10" t="str">
        <x:v>工程明細</x:v>
      </x:c>
      <x:c r="O183" s="10" t="str">
        <x:v>設備、雜項及室外</x:v>
      </x:c>
      <x:c r="P183" s="10" t="str"/>
    </x:row>
    <x:row r="184" ht="15" customHeight="1">
      <x:c r="A184" s="9" t="str">
        <x:v>lidong-179</x:v>
      </x:c>
      <x:c r="B184" s="9" t="str">
        <x:v>雜項工程</x:v>
      </x:c>
      <x:c r="C184" s="9" t="str"/>
      <x:c r="D184" s="9" t="str">
        <x:v>32</x:v>
      </x:c>
      <x:c r="E184" s="9" t="str">
        <x:v>無障礙樓梯警示帶30*102cm</x:v>
      </x:c>
      <x:c r="F184" s="9" t="str">
        <x:v>處</x:v>
      </x:c>
      <x:c r="G184" s="15" t="n">
        <x:v>4</x:v>
      </x:c>
      <x:c r="H184" s="15" t="n">
        <x:v>590</x:v>
      </x:c>
      <x:c r="I184" s="16" t="n">
        <x:v>2360</x:v>
      </x:c>
      <x:c r="J184" s="13" t="n">
        <x:f>IF(OR(G184="",H184=""),"",ROUND(G184*H184,0))</x:f>
        <x:v>2360</x:v>
      </x:c>
      <x:c r="K184" s="13" t="n">
        <x:f>IF(OR(I184="",J184=""),"",I184-J184)</x:f>
        <x:v>0</x:v>
      </x:c>
      <x:c r="L184" s="9" t="str"/>
      <x:c r="M184" s="9" t="n">
        <x:v>8</x:v>
      </x:c>
      <x:c r="N184" s="9" t="str">
        <x:v>工程明細</x:v>
      </x:c>
      <x:c r="O184" s="9" t="str">
        <x:v>設備、雜項及室外</x:v>
      </x:c>
      <x:c r="P184" s="9" t="str"/>
    </x:row>
    <x:row r="185" ht="15" customHeight="1">
      <x:c r="A185" s="10" t="str">
        <x:v>lidong-180</x:v>
      </x:c>
      <x:c r="B185" s="10" t="str">
        <x:v>雜項工程</x:v>
      </x:c>
      <x:c r="C185" s="10" t="str"/>
      <x:c r="D185" s="10" t="str">
        <x:v>33</x:v>
      </x:c>
      <x:c r="E185" s="10" t="str">
        <x:v>草地 (請照用)</x:v>
      </x:c>
      <x:c r="F185" s="10" t="str">
        <x:v>M2</x:v>
      </x:c>
      <x:c r="G185" s="17" t="n">
        <x:v>396</x:v>
      </x:c>
      <x:c r="H185" s="17" t="n">
        <x:v>130</x:v>
      </x:c>
      <x:c r="I185" s="18" t="n">
        <x:v>51480</x:v>
      </x:c>
      <x:c r="J185" s="14" t="n">
        <x:f>IF(OR(G185="",H185=""),"",ROUND(G185*H185,0))</x:f>
        <x:v>51480</x:v>
      </x:c>
      <x:c r="K185" s="14" t="n">
        <x:f>IF(OR(I185="",J185=""),"",I185-J185)</x:f>
        <x:v>0</x:v>
      </x:c>
      <x:c r="L185" s="10" t="str"/>
      <x:c r="M185" s="10" t="n">
        <x:v>8</x:v>
      </x:c>
      <x:c r="N185" s="10" t="str">
        <x:v>工程明細</x:v>
      </x:c>
      <x:c r="O185" s="10" t="str">
        <x:v>設備、雜項及室外</x:v>
      </x:c>
      <x:c r="P185" s="10" t="str"/>
    </x:row>
    <x:row r="186" ht="15" customHeight="1">
      <x:c r="A186" s="9" t="str">
        <x:v>lidong-181</x:v>
      </x:c>
      <x:c r="B186" s="9" t="str">
        <x:v>雜項工程</x:v>
      </x:c>
      <x:c r="C186" s="9" t="str"/>
      <x:c r="D186" s="9" t="str">
        <x:v>34</x:v>
      </x:c>
      <x:c r="E186" s="9" t="str">
        <x:v>植草磚 (請照用)</x:v>
      </x:c>
      <x:c r="F186" s="9" t="str">
        <x:v>M2</x:v>
      </x:c>
      <x:c r="G186" s="15" t="n">
        <x:v>271</x:v>
      </x:c>
      <x:c r="H186" s="15" t="n">
        <x:v>330</x:v>
      </x:c>
      <x:c r="I186" s="16" t="n">
        <x:v>89430</x:v>
      </x:c>
      <x:c r="J186" s="13" t="n">
        <x:f>IF(OR(G186="",H186=""),"",ROUND(G186*H186,0))</x:f>
        <x:v>89430</x:v>
      </x:c>
      <x:c r="K186" s="13" t="n">
        <x:f>IF(OR(I186="",J186=""),"",I186-J186)</x:f>
        <x:v>0</x:v>
      </x:c>
      <x:c r="L186" s="9" t="str"/>
      <x:c r="M186" s="9" t="n">
        <x:v>8</x:v>
      </x:c>
      <x:c r="N186" s="9" t="str">
        <x:v>工程明細</x:v>
      </x:c>
      <x:c r="O186" s="9" t="str">
        <x:v>設備、雜項及室外</x:v>
      </x:c>
      <x:c r="P186" s="9" t="str"/>
    </x:row>
    <x:row r="187" ht="15" customHeight="1">
      <x:c r="A187" s="10" t="str">
        <x:v>lidong-182</x:v>
      </x:c>
      <x:c r="B187" s="10" t="str">
        <x:v>雜項工程</x:v>
      </x:c>
      <x:c r="C187" s="10" t="str"/>
      <x:c r="D187" s="10" t="str">
        <x:v>35</x:v>
      </x:c>
      <x:c r="E187" s="10" t="str">
        <x:v>大樹 (請照用)</x:v>
      </x:c>
      <x:c r="F187" s="10" t="str">
        <x:v>棵</x:v>
      </x:c>
      <x:c r="G187" s="17" t="n">
        <x:v>1</x:v>
      </x:c>
      <x:c r="H187" s="17" t="n">
        <x:v>2100</x:v>
      </x:c>
      <x:c r="I187" s="18" t="n">
        <x:v>2100</x:v>
      </x:c>
      <x:c r="J187" s="14" t="n">
        <x:f>IF(OR(G187="",H187=""),"",ROUND(G187*H187,0))</x:f>
        <x:v>2100</x:v>
      </x:c>
      <x:c r="K187" s="14" t="n">
        <x:f>IF(OR(I187="",J187=""),"",I187-J187)</x:f>
        <x:v>0</x:v>
      </x:c>
      <x:c r="L187" s="10" t="str"/>
      <x:c r="M187" s="10" t="n">
        <x:v>9</x:v>
      </x:c>
      <x:c r="N187" s="10" t="str">
        <x:v>工程明細</x:v>
      </x:c>
      <x:c r="O187" s="10" t="str">
        <x:v>設備、雜項及室外</x:v>
      </x:c>
      <x:c r="P187" s="10" t="str"/>
    </x:row>
    <x:row r="188" ht="15" customHeight="1">
      <x:c r="A188" s="9" t="str">
        <x:v>lidong-183</x:v>
      </x:c>
      <x:c r="B188" s="9" t="str">
        <x:v>雜項工程</x:v>
      </x:c>
      <x:c r="C188" s="9" t="str"/>
      <x:c r="D188" s="9" t="str">
        <x:v>36</x:v>
      </x:c>
      <x:c r="E188" s="9" t="str">
        <x:v>小樹 (請照用)</x:v>
      </x:c>
      <x:c r="F188" s="9" t="str">
        <x:v>株</x:v>
      </x:c>
      <x:c r="G188" s="15" t="n">
        <x:v>7</x:v>
      </x:c>
      <x:c r="H188" s="15" t="n">
        <x:v>620</x:v>
      </x:c>
      <x:c r="I188" s="16" t="n">
        <x:v>4340</x:v>
      </x:c>
      <x:c r="J188" s="13" t="n">
        <x:f>IF(OR(G188="",H188=""),"",ROUND(G188*H188,0))</x:f>
        <x:v>4340</x:v>
      </x:c>
      <x:c r="K188" s="13" t="n">
        <x:f>IF(OR(I188="",J188=""),"",I188-J188)</x:f>
        <x:v>0</x:v>
      </x:c>
      <x:c r="L188" s="9" t="str"/>
      <x:c r="M188" s="9" t="n">
        <x:v>9</x:v>
      </x:c>
      <x:c r="N188" s="9" t="str">
        <x:v>工程明細</x:v>
      </x:c>
      <x:c r="O188" s="9" t="str">
        <x:v>設備、雜項及室外</x:v>
      </x:c>
      <x:c r="P188" s="9" t="str"/>
    </x:row>
    <x:row r="189" ht="15" customHeight="1">
      <x:c r="A189" s="10" t="str">
        <x:v>lidong-fee1</x:v>
      </x:c>
      <x:c r="B189" s="10" t="str">
        <x:v>運什費</x:v>
      </x:c>
      <x:c r="C189" s="10" t="str"/>
      <x:c r="D189" s="10" t="str">
        <x:v>費用1</x:v>
      </x:c>
      <x:c r="E189" s="10" t="str">
        <x:v>運什費</x:v>
      </x:c>
      <x:c r="F189" s="10" t="str">
        <x:v>式</x:v>
      </x:c>
      <x:c r="G189" s="17" t="n">
        <x:v>1</x:v>
      </x:c>
      <x:c r="H189" s="17" t="n">
        <x:v>1219893</x:v>
      </x:c>
      <x:c r="I189" s="18" t="n">
        <x:v>1219893</x:v>
      </x:c>
      <x:c r="J189" s="14" t="n">
        <x:f>IF(OR(G189="",H189=""),"",ROUND(G189*H189,0))</x:f>
        <x:v>1219893</x:v>
      </x:c>
      <x:c r="K189" s="14" t="n">
        <x:f>IF(OR(I189="",J189=""),"",I189-J189)</x:f>
        <x:v>0</x:v>
      </x:c>
      <x:c r="L189" s="10" t="str">
        <x:v>依原總表列示</x:v>
      </x:c>
      <x:c r="M189" s="10" t="n">
        <x:v>1</x:v>
      </x:c>
      <x:c r="N189" s="10" t="str">
        <x:v>總表費用</x:v>
      </x:c>
      <x:c r="O189" s="10" t="str">
        <x:v>運什、安衛及保險</x:v>
      </x:c>
      <x:c r="P189" s="10" t="str"/>
    </x:row>
    <x:row r="190" ht="15" customHeight="1">
      <x:c r="A190" s="9" t="str">
        <x:v>lidong-fee2</x:v>
      </x:c>
      <x:c r="B190" s="9" t="str">
        <x:v>勞工安全衛生及品質管理費</x:v>
      </x:c>
      <x:c r="C190" s="9" t="str"/>
      <x:c r="D190" s="9" t="str">
        <x:v>費用2</x:v>
      </x:c>
      <x:c r="E190" s="9" t="str">
        <x:v>勞工安全衛生及品質管理費</x:v>
      </x:c>
      <x:c r="F190" s="9" t="str">
        <x:v>式</x:v>
      </x:c>
      <x:c r="G190" s="15" t="n">
        <x:v>1</x:v>
      </x:c>
      <x:c r="H190" s="15" t="n">
        <x:v>1219893</x:v>
      </x:c>
      <x:c r="I190" s="16" t="n">
        <x:v>1219893</x:v>
      </x:c>
      <x:c r="J190" s="13" t="n">
        <x:f>IF(OR(G190="",H190=""),"",ROUND(G190*H190,0))</x:f>
        <x:v>1219893</x:v>
      </x:c>
      <x:c r="K190" s="13" t="n">
        <x:f>IF(OR(I190="",J190=""),"",I190-J190)</x:f>
        <x:v>0</x:v>
      </x:c>
      <x:c r="L190" s="9" t="str">
        <x:v>依原總表列示</x:v>
      </x:c>
      <x:c r="M190" s="9" t="n">
        <x:v>1</x:v>
      </x:c>
      <x:c r="N190" s="9" t="str">
        <x:v>總表費用</x:v>
      </x:c>
      <x:c r="O190" s="9" t="str">
        <x:v>運什、安衛及保險</x:v>
      </x:c>
      <x:c r="P190" s="9" t="str"/>
    </x:row>
    <x:row r="191" ht="15" customHeight="1">
      <x:c r="A191" s="10" t="str">
        <x:v>lidong-fee3</x:v>
      </x:c>
      <x:c r="B191" s="10" t="str">
        <x:v>工程保險費</x:v>
      </x:c>
      <x:c r="C191" s="10" t="str"/>
      <x:c r="D191" s="10" t="str">
        <x:v>費用3</x:v>
      </x:c>
      <x:c r="E191" s="10" t="str">
        <x:v>工程保險費</x:v>
      </x:c>
      <x:c r="F191" s="10" t="str">
        <x:v>式</x:v>
      </x:c>
      <x:c r="G191" s="17" t="n">
        <x:v>1</x:v>
      </x:c>
      <x:c r="H191" s="17" t="n">
        <x:v>487957</x:v>
      </x:c>
      <x:c r="I191" s="18" t="n">
        <x:v>487957</x:v>
      </x:c>
      <x:c r="J191" s="14" t="n">
        <x:f>IF(OR(G191="",H191=""),"",ROUND(G191*H191,0))</x:f>
        <x:v>487957</x:v>
      </x:c>
      <x:c r="K191" s="14" t="n">
        <x:f>IF(OR(I191="",J191=""),"",I191-J191)</x:f>
        <x:v>0</x:v>
      </x:c>
      <x:c r="L191" s="10" t="str">
        <x:v>依原總表列示</x:v>
      </x:c>
      <x:c r="M191" s="10" t="n">
        <x:v>1</x:v>
      </x:c>
      <x:c r="N191" s="10" t="str">
        <x:v>總表費用</x:v>
      </x:c>
      <x:c r="O191" s="10" t="str">
        <x:v>運什、安衛及保險</x:v>
      </x:c>
      <x:c r="P191" s="10" t="str"/>
    </x:row>
    <x:row r="192" ht="15" customHeight="1">
      <x:c r="A192" s="9" t="str">
        <x:v>lidong-fee4</x:v>
      </x:c>
      <x:c r="B192" s="9" t="str">
        <x:v>管理及利潤</x:v>
      </x:c>
      <x:c r="C192" s="9" t="str"/>
      <x:c r="D192" s="9" t="str">
        <x:v>費用4</x:v>
      </x:c>
      <x:c r="E192" s="9" t="str">
        <x:v>管理及利潤</x:v>
      </x:c>
      <x:c r="F192" s="9" t="str">
        <x:v>式</x:v>
      </x:c>
      <x:c r="G192" s="15" t="n">
        <x:v>1</x:v>
      </x:c>
      <x:c r="H192" s="15" t="n">
        <x:v>11654379</x:v>
      </x:c>
      <x:c r="I192" s="16" t="n">
        <x:v>11654379</x:v>
      </x:c>
      <x:c r="J192" s="13" t="n">
        <x:f>IF(OR(G192="",H192=""),"",ROUND(G192*H192,0))</x:f>
        <x:v>11654379</x:v>
      </x:c>
      <x:c r="K192" s="13" t="n">
        <x:f>IF(OR(I192="",J192=""),"",I192-J192)</x:f>
        <x:v>0</x:v>
      </x:c>
      <x:c r="L192" s="9" t="str">
        <x:v>依原總表列示</x:v>
      </x:c>
      <x:c r="M192" s="9" t="n">
        <x:v>1</x:v>
      </x:c>
      <x:c r="N192" s="9" t="str">
        <x:v>總表費用</x:v>
      </x:c>
      <x:c r="O192" s="9" t="str">
        <x:v>管理及利潤</x:v>
      </x:c>
      <x:c r="P192" s="9" t="str"/>
    </x:row>
    <x:row r="193" ht="15" customHeight="1">
      <x:c r="A193" s="10" t="str">
        <x:v>lidong-fee5</x:v>
      </x:c>
      <x:c r="B193" s="10" t="str">
        <x:v>加值營業稅</x:v>
      </x:c>
      <x:c r="C193" s="10" t="str"/>
      <x:c r="D193" s="10" t="str">
        <x:v>費用5</x:v>
      </x:c>
      <x:c r="E193" s="10" t="str">
        <x:v>加值營業稅</x:v>
      </x:c>
      <x:c r="F193" s="10" t="str">
        <x:v>式</x:v>
      </x:c>
      <x:c r="G193" s="17" t="n">
        <x:v>1</x:v>
      </x:c>
      <x:c r="H193" s="17" t="n">
        <x:v>6828571</x:v>
      </x:c>
      <x:c r="I193" s="18" t="n">
        <x:v>6828571</x:v>
      </x:c>
      <x:c r="J193" s="14" t="n">
        <x:f>IF(OR(G193="",H193=""),"",ROUND(G193*H193,0))</x:f>
        <x:v>6828571</x:v>
      </x:c>
      <x:c r="K193" s="14" t="n">
        <x:f>IF(OR(I193="",J193=""),"",I193-J193)</x:f>
        <x:v>0</x:v>
      </x:c>
      <x:c r="L193" s="10" t="str">
        <x:v>依原總表列示</x:v>
      </x:c>
      <x:c r="M193" s="10" t="n">
        <x:v>1</x:v>
      </x:c>
      <x:c r="N193" s="10" t="str">
        <x:v>總表費用</x:v>
      </x:c>
      <x:c r="O193" s="10" t="str">
        <x:v>營業稅</x:v>
      </x:c>
      <x:c r="P193" s="10" t="str"/>
    </x:row>
  </x:sheetData>
  <x:conditionalFormatting sqref="K6:K193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d789cb78104f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45" hidden="0" customWidth="1"/>
  </x:cols>
  <x:sheetData>
    <x:row r="2" ht="19.200000762939453" customHeight="1">
      <x:c r="A2" s="1" t="str">
        <x:v>來源與報價條款</x:v>
      </x:c>
    </x:row>
    <x:row r="5" ht="15" customHeight="1">
      <x:c r="A5" s="6" t="str">
        <x:v>PDF頁</x:v>
      </x:c>
      <x:c r="B5" s="6" t="str">
        <x:v>內容類型</x:v>
      </x:c>
      <x:c r="C5" s="6" t="str">
        <x:v>原文／整理說明</x:v>
      </x:c>
    </x:row>
    <x:row r="6" ht="15" customHeight="1">
      <x:c r="A6" s="9"/>
      <x:c r="B6" s="9" t="str">
        <x:v>來源PDF</x:v>
      </x:c>
      <x:c r="C6" s="9" t="str">
        <x:v>立東營造115-12.瓏昇廠房新建廠房案-估價單(加入使用品牌)_115.10.01.pdf</x:v>
      </x:c>
    </x:row>
    <x:row r="7" ht="15" customHeight="1">
      <x:c r="A7" s="10"/>
      <x:c r="B7" s="10" t="str">
        <x:v>提供文件頁數</x:v>
      </x:c>
      <x:c r="C7" s="10" t="str">
        <x:v>9</x:v>
      </x:c>
    </x:row>
    <x:row r="8" ht="15" customHeight="1">
      <x:c r="A8" s="9"/>
      <x:c r="B8" s="9" t="str">
        <x:v>整理原則</x:v>
      </x:c>
      <x:c r="C8" s="9" t="str">
        <x:v>原複價為分析基礎；未列價不當零元；數量×單價僅供核對。</x:v>
      </x:c>
    </x:row>
    <x:row r="9" ht="15" customHeight="1">
      <x:c r="A9" s="10" t="n">
        <x:v>1</x:v>
      </x:c>
      <x:c r="B9" s="10" t="str">
        <x:v>原總表未列價項目</x:v>
      </x:c>
      <x:c r="C9" s="10" t="str">
        <x:v>機電工程：業主自行發包；營造工程空氣污染防治費：由業主負擔，支付給環保署。</x:v>
      </x:c>
    </x:row>
    <x:row r="10" ht="15" customHeight="1">
      <x:c r="A10" s="9" t="n">
        <x:v>1</x:v>
      </x:c>
      <x:c r="B10" s="9" t="str">
        <x:v>原報價一般備註</x:v>
      </x:c>
      <x:c r="C10" s="9" t="str">
        <x:v>1.以上估價不含外水.外電.外瓦斯.及外審費用.</x:v>
      </x:c>
    </x:row>
    <x:row r="11" ht="15" customHeight="1">
      <x:c r="A11" s="10" t="n">
        <x:v>1</x:v>
      </x:c>
      <x:c r="B11" s="10" t="str">
        <x:v>原報價一般備註</x:v>
      </x:c>
      <x:c r="C11" s="10" t="str">
        <x:v>2.本估價單之項目依業主所指定之施工項目而估價,未估價之部分則由業主自行施作,或與承商另行議價.</x:v>
      </x:c>
    </x:row>
    <x:row r="12" ht="15" customHeight="1">
      <x:c r="A12" s="9" t="n">
        <x:v>1</x:v>
      </x:c>
      <x:c r="B12" s="9" t="str">
        <x:v>原報價一般備註</x:v>
      </x:c>
      <x:c r="C12" s="9" t="str">
        <x:v>3.不含臨時水電。</x:v>
      </x:c>
    </x:row>
    <x:row r="13" ht="15" customHeight="1">
      <x:c r="A13" s="10" t="n">
        <x:v>1</x:v>
      </x:c>
      <x:c r="B13" s="10" t="str">
        <x:v>原報價一般備註</x:v>
      </x:c>
      <x:c r="C13" s="10" t="str">
        <x:v>4.混凝土採用：亞東、巨力…等同等品牌。</x:v>
      </x:c>
    </x:row>
    <x:row r="14" ht="15" customHeight="1">
      <x:c r="A14" s="9" t="n">
        <x:v>1</x:v>
      </x:c>
      <x:c r="B14" s="9" t="str">
        <x:v>原報價一般備註</x:v>
      </x:c>
      <x:c r="C14" s="9" t="str">
        <x:v>5.磁磚材料採用：國產。</x:v>
      </x:c>
    </x:row>
    <x:row r="15" ht="15" customHeight="1">
      <x:c r="A15" s="10" t="n">
        <x:v>1</x:v>
      </x:c>
      <x:c r="B15" s="10" t="str">
        <x:v>原報價一般備註</x:v>
      </x:c>
      <x:c r="C15" s="10" t="str">
        <x:v>6.電梯設備採用：立穩、國峰…等同等品牌。</x:v>
      </x:c>
    </x:row>
    <x:row r="16" ht="15" customHeight="1">
      <x:c r="A16" s="9" t="n">
        <x:v>1</x:v>
      </x:c>
      <x:c r="B16" s="9" t="str">
        <x:v>原報價一般備註</x:v>
      </x:c>
      <x:c r="C16" s="9" t="str">
        <x:v>7.矽酸鈣板輕隔間採用：9mm厚，不含岩棉。</x:v>
      </x:c>
    </x:row>
    <x:row r="17" ht="15" customHeight="1">
      <x:c r="A17" s="10" t="n">
        <x:v>1</x:v>
      </x:c>
      <x:c r="B17" s="10" t="str">
        <x:v>原報價一般備註</x:v>
      </x:c>
      <x:c r="C17" s="10" t="str">
        <x:v>8.油漆材料採用：虹牌、青葉…等同等品牌。</x:v>
      </x:c>
    </x:row>
    <x:row r="18" ht="15" customHeight="1">
      <x:c r="A18" s="9" t="n">
        <x:v>1</x:v>
      </x:c>
      <x:c r="B18" s="9" t="str">
        <x:v>原報價一般備註</x:v>
      </x:c>
      <x:c r="C18" s="9" t="str">
        <x:v>9.外牆塗料材料採用：國產。</x:v>
      </x:c>
    </x:row>
    <x:row r="19" ht="15" customHeight="1">
      <x:c r="A19" s="10" t="n">
        <x:v>1</x:v>
      </x:c>
      <x:c r="B19" s="10" t="str">
        <x:v>原報價一般備註</x:v>
      </x:c>
      <x:c r="C19" s="10" t="str">
        <x:v>10.鋁門窗採用：大同、力霸…等同等品牌。</x:v>
      </x:c>
    </x:row>
    <x:row r="20" ht="15" customHeight="1">
      <x:c r="A20" s="9" t="n">
        <x:v>1</x:v>
      </x:c>
      <x:c r="B20" s="9" t="str">
        <x:v>原報價一般備註</x:v>
      </x:c>
      <x:c r="C20" s="9" t="str">
        <x:v>11.水泥材料採用：晉渝、幸福…等同等品牌。</x:v>
      </x:c>
    </x:row>
    <x:row r="21" ht="15" customHeight="1">
      <x:c r="A21" s="10" t="n">
        <x:v>1</x:v>
      </x:c>
      <x:c r="B21" s="10" t="str">
        <x:v>原報價一般備註</x:v>
      </x:c>
      <x:c r="C21" s="10" t="str">
        <x:v>12.本報價單有效期限14天，因鋼筋、混凝土…等大宗物料，市場物價浮動大，超過14天，另依時價進行報價。</x:v>
      </x:c>
    </x:row>
    <x:row r="22" ht="15" customHeight="1">
      <x:c r="A22" s="9" t="n">
        <x:v>1</x:v>
      </x:c>
      <x:c r="B22" s="9" t="str">
        <x:v>抬頭與日期</x:v>
      </x:c>
      <x:c r="C22" s="9" t="str">
        <x:v>使用者稱立東，PDF抬頭為立東建設／營寶營造；簽約主體待確認。 日期依檔名115.10.01；PDF內未見日期</x:v>
      </x:c>
    </x:row>
  </x:sheetData>
  <x:pageMargins left="0.7" right="0.7" top="0.75" bottom="0.75" header="0.3" footer="0.3"/>
</x:worksheet>
</file>